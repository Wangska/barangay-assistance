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74d46b372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script" sheetId="1" r:id="R2181e47218f04c52"/>
    <x:sheet xmlns:r="http://schemas.openxmlformats.org/officeDocument/2006/relationships" name="Development" sheetId="2" r:id="R3bca1474a64e453a"/>
  </x:sheets>
</x:workbook>
</file>

<file path=xl/sharedStrings.xml><?xml version="1.0" encoding="utf-8"?>
<x:sst xmlns:x="http://schemas.openxmlformats.org/spreadsheetml/2006/main">
  <x:si>
    <x:t xml:space="preserve">PROJECT TITLE</x:t>
  </x:si>
  <x:si>
    <x:t xml:space="preserve">Senior Citizen Management System</x:t>
  </x:si>
  <x:si>
    <x:t xml:space="preserve">WBS
NUMBER</x:t>
  </x:si>
  <x:si>
    <x:t xml:space="preserve">TASK TITTLE</x:t>
  </x:si>
  <x:si>
    <x:t xml:space="preserve">TASK OWNER</x:t>
  </x:si>
  <x:si>
    <x:t xml:space="preserve">NAME</x:t>
  </x:si>
  <x:si>
    <x:t xml:space="preserve">START
DATE</x:t>
  </x:si>
  <x:si>
    <x:t xml:space="preserve">DUE
DATE</x:t>
  </x:si>
  <x:si>
    <x:t xml:space="preserve">MAY</x:t>
  </x:si>
  <x:si>
    <x:t xml:space="preserve">JUNE</x:t>
  </x:si>
  <x:si>
    <x:t xml:space="preserve">JULY</x:t>
  </x:si>
  <x:si>
    <x:t xml:space="preserve">W1</x:t>
  </x:si>
  <x:si>
    <x:t xml:space="preserve">W2</x:t>
  </x:si>
  <x:si>
    <x:t xml:space="preserve">W3</x:t>
  </x:si>
  <x:si>
    <x:t xml:space="preserve">W4</x:t>
  </x:si>
  <x:si>
    <x:t xml:space="preserve">1</x:t>
  </x:si>
  <x:si>
    <x:t xml:space="preserve">Preliminary Pages</x:t>
  </x:si>
  <x:si>
    <x:t xml:space="preserve">Project Manager</x:t>
  </x:si>
  <x:si>
    <x:t xml:space="preserve">Alfanta</x:t>
  </x:si>
  <x:si>
    <x:t xml:space="preserve">1.1</x:t>
  </x:si>
  <x:si>
    <x:t xml:space="preserve">  Title Page</x:t>
  </x:si>
  <x:si>
    <x:t xml:space="preserve">1.2</x:t>
  </x:si>
  <x:si>
    <x:t xml:space="preserve">  Approval Sheet</x:t>
  </x:si>
  <x:si>
    <x:t xml:space="preserve">1.3</x:t>
  </x:si>
  <x:si>
    <x:t xml:space="preserve">  Acknowledgement</x:t>
  </x:si>
  <x:si>
    <x:t xml:space="preserve">1.4</x:t>
  </x:si>
  <x:si>
    <x:t xml:space="preserve">  Dedication</x:t>
  </x:si>
  <x:si>
    <x:t xml:space="preserve">1.5</x:t>
  </x:si>
  <x:si>
    <x:t xml:space="preserve">  Table of Contents</x:t>
  </x:si>
  <x:si>
    <x:t xml:space="preserve">1.6</x:t>
  </x:si>
  <x:si>
    <x:t xml:space="preserve">  List of Figures</x:t>
  </x:si>
  <x:si>
    <x:t xml:space="preserve">1.7</x:t>
  </x:si>
  <x:si>
    <x:t xml:space="preserve">  List of Tables</x:t>
  </x:si>
  <x:si>
    <x:t xml:space="preserve">1.8</x:t>
  </x:si>
  <x:si>
    <x:t xml:space="preserve">  List of Abbreviations / Acronyms</x:t>
  </x:si>
  <x:si>
    <x:t xml:space="preserve">1.9</x:t>
  </x:si>
  <x:si>
    <x:t xml:space="preserve">  Executive Summary</x:t>
  </x:si>
  <x:si>
    <x:t xml:space="preserve">2</x:t>
  </x:si>
  <x:si>
    <x:t xml:space="preserve">Chapter I – Introduction</x:t>
  </x:si>
  <x:si>
    <x:t xml:space="preserve">Documenter</x:t>
  </x:si>
  <x:si>
    <x:t xml:space="preserve">Tangpos</x:t>
  </x:si>
  <x:si>
    <x:t xml:space="preserve">2.1</x:t>
  </x:si>
  <x:si>
    <x:t xml:space="preserve">  Project Context</x:t>
  </x:si>
  <x:si>
    <x:t xml:space="preserve">2.2</x:t>
  </x:si>
  <x:si>
    <x:t xml:space="preserve">  Purpose and Description</x:t>
  </x:si>
  <x:si>
    <x:t xml:space="preserve">Africano</x:t>
  </x:si>
  <x:si>
    <x:t xml:space="preserve">2.3</x:t>
  </x:si>
  <x:si>
    <x:t xml:space="preserve">  Objectives of the System (General/Specific)</x:t>
  </x:si>
  <x:si>
    <x:t xml:space="preserve">Ababan</x:t>
  </x:si>
  <x:si>
    <x:t xml:space="preserve">2.4</x:t>
  </x:si>
  <x:si>
    <x:t xml:space="preserve">  Scope and Limitation of the System</x:t>
  </x:si>
  <x:si>
    <x:t xml:space="preserve">Sarno</x:t>
  </x:si>
  <x:si>
    <x:t xml:space="preserve">2.5</x:t>
  </x:si>
  <x:si>
    <x:t xml:space="preserve">  Definition of Terms</x:t>
  </x:si>
  <x:si>
    <x:t xml:space="preserve">Mondejar</x:t>
  </x:si>
  <x:si>
    <x:t xml:space="preserve">3</x:t>
  </x:si>
  <x:si>
    <x:t xml:space="preserve">Chapter II – Review of Related Literature and Systems</x:t>
  </x:si>
  <x:si>
    <x:t xml:space="preserve">Data Analyst</x:t>
  </x:si>
  <x:si>
    <x:t xml:space="preserve">Dela Cerna</x:t>
  </x:si>
  <x:si>
    <x:t xml:space="preserve">3.1</x:t>
  </x:si>
  <x:si>
    <x:t xml:space="preserve">  Related Literature and Systems</x:t>
  </x:si>
  <x:si>
    <x:t xml:space="preserve">3.2</x:t>
  </x:si>
  <x:si>
    <x:t xml:space="preserve">  Synthesis</x:t>
  </x:si>
  <x:si>
    <x:t xml:space="preserve">4</x:t>
  </x:si>
  <x:si>
    <x:t xml:space="preserve">Chapter III – Technical Foundation</x:t>
  </x:si>
  <x:si>
    <x:t xml:space="preserve">4.1</x:t>
  </x:si>
  <x:si>
    <x:t xml:space="preserve">  Organizational Structure</x:t>
  </x:si>
  <x:si>
    <x:t xml:space="preserve">4.2</x:t>
  </x:si>
  <x:si>
    <x:t xml:space="preserve">  Technical Environment</x:t>
  </x:si>
  <x:si>
    <x:t xml:space="preserve">Developer</x:t>
  </x:si>
  <x:si>
    <x:t xml:space="preserve">Paragat</x:t>
  </x:si>
  <x:si>
    <x:t xml:space="preserve">4.3</x:t>
  </x:si>
  <x:si>
    <x:t xml:space="preserve">  Development Tools and Technologies</x:t>
  </x:si>
  <x:si>
    <x:t xml:space="preserve">5</x:t>
  </x:si>
  <x:si>
    <x:t xml:space="preserve">Chapter IV – Methodology</x:t>
  </x:si>
  <x:si>
    <x:t xml:space="preserve">5.1</x:t>
  </x:si>
  <x:si>
    <x:t xml:space="preserve">  Research Approach</x:t>
  </x:si>
  <x:si>
    <x:t xml:space="preserve">5.2</x:t>
  </x:si>
  <x:si>
    <x:t xml:space="preserve">  Software Development Methodology</x:t>
  </x:si>
  <x:si>
    <x:t xml:space="preserve">System Analyst</x:t>
  </x:si>
  <x:si>
    <x:t xml:space="preserve">5.3</x:t>
  </x:si>
  <x:si>
    <x:t xml:space="preserve">  Project Management Plan</x:t>
  </x:si>
  <x:si>
    <x:t xml:space="preserve">5.4</x:t>
  </x:si>
  <x:si>
    <x:t xml:space="preserve">  Requirements Analysis and Documentation</x:t>
  </x:si>
  <x:si>
    <x:t xml:space="preserve">5.5</x:t>
  </x:si>
  <x:si>
    <x:t xml:space="preserve">  System Design</x:t>
  </x:si>
  <x:si>
    <x:t xml:space="preserve">5.6</x:t>
  </x:si>
  <x:si>
    <x:t xml:space="preserve">  Development and Testing Procedures</x:t>
  </x:si>
  <x:si>
    <x:t xml:space="preserve">5.7</x:t>
  </x:si>
  <x:si>
    <x:t xml:space="preserve">  Implementation Strategies</x:t>
  </x:si>
  <x:si>
    <x:t xml:space="preserve">6</x:t>
  </x:si>
  <x:si>
    <x:t xml:space="preserve">Chapter V – Design of the Prototype</x:t>
  </x:si>
  <x:si>
    <x:t xml:space="preserve">6.1</x:t>
  </x:si>
  <x:si>
    <x:t xml:space="preserve">  Operational Framework</x:t>
  </x:si>
  <x:si>
    <x:t xml:space="preserve">6.2</x:t>
  </x:si>
  <x:si>
    <x:t xml:space="preserve">  User Interface Design</x:t>
  </x:si>
  <x:si>
    <x:t xml:space="preserve">7</x:t>
  </x:si>
  <x:si>
    <x:t xml:space="preserve">Chapter VI – Results and Discussions</x:t>
  </x:si>
  <x:si>
    <x:t xml:space="preserve">7.1</x:t>
  </x:si>
  <x:si>
    <x:t xml:space="preserve">  Summary of Findings</x:t>
  </x:si>
  <x:si>
    <x:t xml:space="preserve">7.2</x:t>
  </x:si>
  <x:si>
    <x:t xml:space="preserve">  Recommendations</x:t>
  </x:si>
  <x:si>
    <x:t xml:space="preserve">Legend:</x:t>
  </x:si>
  <x:si>
    <x:t xml:space="preserve">Izzy Alfanta</x:t>
  </x:si>
  <x:si>
    <x:t xml:space="preserve">Jake Paragat</x:t>
  </x:si>
  <x:si>
    <x:t xml:space="preserve">Arve Ian Sarno</x:t>
  </x:si>
  <x:si>
    <x:t xml:space="preserve">Ivan Dela Cerna</x:t>
  </x:si>
  <x:si>
    <x:t xml:space="preserve">Kent Jay A baban</x:t>
  </x:si>
  <x:si>
    <x:t xml:space="preserve">Jemuel Africano</x:t>
  </x:si>
  <x:si>
    <x:t xml:space="preserve">Melchor Mondejar</x:t>
  </x:si>
  <x:si>
    <x:t xml:space="preserve">Jessa Tangpos</x:t>
  </x:si>
</x:sst>
</file>

<file path=xl/styles.xml><?xml version="1.0" encoding="utf-8"?>
<x:styleSheet xmlns:x="http://schemas.openxmlformats.org/spreadsheetml/2006/main">
  <x:numFmts count="3">
    <x:numFmt numFmtId="164" formatCode="dd/mm/yy"/>
    <x:numFmt numFmtId="200" formatCode="mmm d"/>
    <x:numFmt numFmtId="201" formatCode="mmm d, yyyy"/>
  </x:numFmts>
  <x:fonts count="15">
    <x:font>
      <x:sz val="11"/>
      <x:color theme="1"/>
      <x:name val="Calibri"/>
    </x:font>
    <x:font>
      <x:sz val="11"/>
      <x:color rgb="FF1F3864"/>
      <x:name val="Arial"/>
    </x:font>
    <x:font>
      <x:sz val="11"/>
      <x:color theme="1"/>
      <x:name val="Arial"/>
    </x:font>
    <x:font>
      <x:b/>
      <x:sz val="11"/>
      <x:color rgb="FFFFFFFF"/>
      <x:name val="Arial"/>
    </x:font>
    <x:font>
      <x:b/>
      <x:sz val="11"/>
      <x:color rgb="FF1F3864"/>
      <x:name val="Arial"/>
    </x:font>
    <x:font>
      <x:sz val="11"/>
      <x:color rgb="FF000000"/>
      <x:name val="Arial"/>
    </x:font>
    <x:font>
      <x:sz val="11"/>
      <x:name val="Arial"/>
    </x:font>
    <x:font>
      <x:b/>
      <x:sz val="11"/>
      <x:color theme="0"/>
      <x:name val="Arial"/>
    </x:font>
    <x:font>
      <x:sz val="11"/>
      <x:color rgb="FFFF0000"/>
      <x:name val="Arial"/>
    </x:font>
    <x:font>
      <x:b/>
      <x:sz val="11"/>
      <x:color rgb="FF17365D"/>
      <x:name val="Calibri"/>
    </x:font>
    <x:font>
      <x:b/>
      <x:sz val="11"/>
      <x:color rgb="FF1F4E78"/>
      <x:name val="Calibri"/>
    </x:font>
    <x:font>
      <x:sz val="11"/>
      <x:color rgb="FF4F81BD"/>
      <x:name val="Calibri"/>
    </x:font>
    <x:font>
      <x:b/>
      <x:sz val="12"/>
      <x:color rgb="FFFFFFFF"/>
      <x:name val="Calibri"/>
    </x:font>
    <x:font>
      <x:b/>
      <x:sz val="11"/>
      <x:color rgb="FFFFFFFF"/>
      <x:name val="Calibri"/>
    </x:font>
    <x:font>
      <x:i/>
      <x:sz val="11"/>
      <x:color rgb="FF17365D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D6E4F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1"/>
      </x:patternFill>
    </x:fill>
    <x:fill>
      <x:patternFill patternType="solid">
        <x:fgColor rgb="FFFF0000"/>
      </x:patternFill>
    </x:fill>
    <x:fill>
      <x:patternFill patternType="solid">
        <x:fgColor rgb="FF7030A0"/>
      </x:patternFill>
    </x:fill>
    <x:fill>
      <x:patternFill patternType="solid">
        <x:fgColor rgb="FF00B050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theme="1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rgb="FF00B050"/>
      </x:patternFill>
    </x:fill>
    <x:fill>
      <x:patternFill patternType="solid">
        <x:fgColor rgb="FF00B050"/>
      </x:patternFill>
    </x:fill>
    <x:fill>
      <x:patternFill patternType="solid">
        <x:fgColor rgb="FF7030A0"/>
      </x:patternFill>
    </x:fill>
    <x:fill>
      <x:patternFill patternType="solid">
        <x:fgColor rgb="FFFF0000"/>
      </x:patternFill>
    </x:fill>
    <x:fill>
      <x:patternFill patternType="solid">
        <x:fgColor theme="8" tint="-0.24998"/>
      </x:patternFill>
    </x:fill>
    <x:fill>
      <x:patternFill patternType="solid">
        <x:fgColor theme="8" tint="-0.49998"/>
      </x:patternFill>
    </x:fill>
    <x:fill>
      <x:patternFill patternType="solid">
        <x:fgColor theme="8" tint="0.79998"/>
      </x:patternFill>
    </x:fill>
    <x:fill>
      <x:patternFill patternType="solid">
        <x:fgColor rgb="FF7030A0"/>
      </x:patternFill>
    </x:fill>
    <x:fill>
      <x:patternFill patternType="solid">
        <x:fgColor rgb="FFFFC000"/>
      </x:patternFill>
    </x:fill>
    <x:fill>
      <x:patternFill patternType="solid">
        <x:fgColor theme="1"/>
      </x:patternFill>
    </x:fill>
    <x:fill>
      <x:patternFill patternType="solid">
        <x:fgColor theme="0"/>
      </x:patternFill>
    </x:fill>
    <x:fill>
      <x:patternFill patternType="solid">
        <x:fgColor rgb="FF7030A0"/>
      </x:patternFill>
    </x:fill>
    <x:fill>
      <x:patternFill patternType="solid">
        <x:fgColor theme="5" tint="-0.24998"/>
      </x:patternFill>
    </x:fill>
    <x:fill>
      <x:patternFill patternType="solid">
        <x:fgColor theme="5" tint="-0.24998"/>
      </x:patternFill>
    </x:fill>
    <x:fill>
      <x:patternFill patternType="solid">
        <x:fgColor theme="8" tint="0.7999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366092"/>
      </x:patternFill>
    </x:fill>
    <x:fill>
      <x:patternFill patternType="solid">
        <x:fgColor rgb="FFB8CCE4"/>
      </x:patternFill>
    </x:fill>
    <x:fill>
      <x:patternFill patternType="solid">
        <x:fgColor rgb="FFEAF2F8"/>
      </x:patternFill>
    </x:fill>
  </x:fills>
  <x:borders count="8">
    <x:border/>
    <x:border>
      <x:left style="thin">
        <x:color rgb="FFB8CCE4"/>
      </x:left>
      <x:right style="thin">
        <x:color rgb="FFB8CCE4"/>
      </x:right>
      <x:top style="thin">
        <x:color rgb="FFB8CCE4"/>
      </x:top>
    </x:border>
    <x:border>
      <x:left style="medium">
        <x:color rgb="FF2E75B6"/>
      </x:left>
      <x:top style="medium">
        <x:color rgb="FF2E75B6"/>
      </x:top>
      <x:bottom style="medium">
        <x:color rgb="FF2E75B6"/>
      </x:bottom>
    </x:border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CE4"/>
      </x:left>
      <x:top style="thin">
        <x:color rgb="FFB8CCE4"/>
      </x:top>
      <x:bottom style="thin">
        <x:color rgb="FFB8CCE4"/>
      </x:bottom>
    </x:border>
    <x:border>
      <x:top style="thin">
        <x:color rgb="FFB8CCE4"/>
      </x:top>
      <x:bottom style="thin">
        <x:color rgb="FFB8CCE4"/>
      </x:bottom>
    </x:border>
    <x:border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2" fillId="3" borderId="3" xfId="0" applyFont="1" applyFill="1" applyBorder="1"/>
    <x:xf numFmtId="0" fontId="2" fillId="4" borderId="3" xfId="0" applyFont="1" applyFill="1" applyBorder="1"/>
    <x:xf numFmtId="14" fontId="2" fillId="4" borderId="3" xfId="0" applyNumberFormat="1" applyFont="1" applyFill="1" applyBorder="1"/>
    <x:xf numFmtId="0" fontId="2" fillId="9" borderId="3" xfId="0" applyFont="1" applyFill="1" applyBorder="1"/>
    <x:xf numFmtId="0" fontId="2" fillId="2" borderId="3" xfId="0" applyFont="1" applyFill="1" applyBorder="1"/>
    <x:xf numFmtId="0" fontId="2" fillId="8" borderId="3" xfId="0" applyFont="1" applyFill="1" applyBorder="1"/>
    <x:xf numFmtId="14" fontId="2" fillId="8" borderId="3" xfId="0" applyNumberFormat="1" applyFont="1" applyFill="1" applyBorder="1"/>
    <x:xf numFmtId="0" fontId="2" fillId="6" borderId="3" xfId="0" applyFont="1" applyFill="1" applyBorder="1"/>
    <x:xf numFmtId="14" fontId="2" fillId="6" borderId="3" xfId="0" applyNumberFormat="1" applyFont="1" applyFill="1" applyBorder="1"/>
    <x:xf numFmtId="0" fontId="2" fillId="7" borderId="3" xfId="0" applyFont="1" applyFill="1" applyBorder="1"/>
    <x:xf numFmtId="14" fontId="2" fillId="7" borderId="3" xfId="0" applyNumberFormat="1" applyFont="1" applyFill="1" applyBorder="1"/>
    <x:xf numFmtId="0" fontId="4" fillId="2" borderId="3" xfId="0" applyFont="1" applyFill="1" applyBorder="1" applyAlignment="1">
      <x:alignment horizontal="center" vertical="center"/>
    </x:xf>
    <x:xf numFmtId="0" fontId="4" fillId="2" borderId="3" xfId="0" applyFont="1" applyFill="1" applyBorder="1" applyAlignment="1">
      <x:alignment horizontal="left" vertical="center"/>
    </x:xf>
    <x:xf numFmtId="0" fontId="5" fillId="4" borderId="3" xfId="0" applyFont="1" applyFill="1" applyBorder="1" applyAlignment="1">
      <x:alignment horizontal="center" vertical="center"/>
    </x:xf>
    <x:xf numFmtId="0" fontId="5" fillId="4" borderId="3" xfId="0" applyFont="1" applyFill="1" applyBorder="1" applyAlignment="1">
      <x:alignment horizontal="left" vertical="center"/>
    </x:xf>
    <x:xf numFmtId="0" fontId="6" fillId="0" borderId="0" xfId="0" applyFont="1" applyAlignment="1">
      <x:alignment vertical="center"/>
    </x:xf>
    <x:xf numFmtId="0" fontId="6" fillId="0" borderId="0" xfId="0" applyFont="1"/>
    <x:xf numFmtId="0" fontId="2" fillId="0" borderId="0" xfId="0" applyFont="1"/>
    <x:xf numFmtId="0" fontId="6" fillId="10" borderId="0" xfId="0" applyFont="1" applyFill="1"/>
    <x:xf numFmtId="0" fontId="6" fillId="11" borderId="0" xfId="0" applyFont="1" applyFill="1"/>
    <x:xf numFmtId="0" fontId="6" fillId="12" borderId="0" xfId="0" applyFont="1" applyFill="1"/>
    <x:xf numFmtId="0" fontId="6" fillId="13" borderId="0" xfId="0" applyFont="1" applyFill="1"/>
    <x:xf numFmtId="0" fontId="6" fillId="14" borderId="0" xfId="0" applyFont="1" applyFill="1" applyAlignment="1">
      <x:alignment vertical="center"/>
    </x:xf>
    <x:xf numFmtId="0" fontId="2" fillId="15" borderId="0" xfId="0" applyFont="1" applyFill="1"/>
    <x:xf numFmtId="0" fontId="2" fillId="5" borderId="0" xfId="0" applyFont="1" applyFill="1"/>
    <x:xf numFmtId="0" fontId="2" fillId="16" borderId="0" xfId="0" applyFont="1" applyFill="1"/>
    <x:xf numFmtId="0" fontId="2" fillId="17" borderId="3" xfId="0" applyFont="1" applyFill="1" applyBorder="1"/>
    <x:xf numFmtId="0" fontId="2" fillId="18" borderId="3" xfId="0" applyFont="1" applyFill="1" applyBorder="1"/>
    <x:xf numFmtId="0" fontId="2" fillId="19" borderId="3" xfId="0" applyFont="1" applyFill="1" applyBorder="1"/>
    <x:xf numFmtId="0" fontId="2" fillId="20" borderId="3" xfId="0" applyFont="1" applyFill="1" applyBorder="1"/>
    <x:xf numFmtId="0" fontId="2" fillId="21" borderId="3" xfId="0" applyFont="1" applyFill="1" applyBorder="1"/>
    <x:xf numFmtId="0" fontId="2" fillId="22" borderId="3" xfId="0" applyFont="1" applyFill="1" applyBorder="1"/>
    <x:xf numFmtId="0" fontId="2" fillId="23" borderId="3" xfId="0" applyFont="1" applyFill="1" applyBorder="1"/>
    <x:xf numFmtId="0" fontId="2" fillId="24" borderId="3" xfId="0" applyFont="1" applyFill="1" applyBorder="1"/>
    <x:xf numFmtId="0" fontId="3" fillId="25" borderId="3" xfId="0" applyFont="1" applyFill="1" applyBorder="1" applyAlignment="1">
      <x:alignment horizontal="center" vertical="center"/>
    </x:xf>
    <x:xf numFmtId="0" fontId="2" fillId="26" borderId="0" xfId="0" applyFont="1" applyFill="1"/>
    <x:xf numFmtId="0" fontId="2" fillId="27" borderId="3" xfId="0" applyFont="1" applyFill="1" applyBorder="1"/>
    <x:xf numFmtId="0" fontId="4" fillId="27" borderId="3" xfId="0" applyFont="1" applyFill="1" applyBorder="1" applyAlignment="1">
      <x:alignment horizontal="left" vertical="center"/>
    </x:xf>
    <x:xf numFmtId="0" fontId="4" fillId="27" borderId="3" xfId="0" applyFont="1" applyFill="1" applyBorder="1" applyAlignment="1">
      <x:alignment horizontal="center" vertical="center"/>
    </x:xf>
    <x:xf numFmtId="14" fontId="2" fillId="27" borderId="3" xfId="0" applyNumberFormat="1" applyFont="1" applyFill="1" applyBorder="1"/>
    <x:xf numFmtId="14" fontId="1" fillId="27" borderId="3" xfId="0" applyNumberFormat="1" applyFont="1" applyFill="1" applyBorder="1"/>
    <x:xf numFmtId="0" fontId="6" fillId="28" borderId="0" xfId="0" applyFont="1" applyFill="1"/>
    <x:xf numFmtId="0" fontId="6" fillId="29" borderId="0" xfId="0" applyFont="1" applyFill="1"/>
    <x:xf numFmtId="0" fontId="2" fillId="30" borderId="0" xfId="0" applyFont="1" applyFill="1"/>
    <x:xf numFmtId="0" fontId="2" fillId="31" borderId="3" xfId="0" applyFont="1" applyFill="1" applyBorder="1"/>
    <x:xf numFmtId="0" fontId="2" fillId="32" borderId="3" xfId="0" applyFont="1" applyFill="1" applyBorder="1"/>
    <x:xf numFmtId="0" fontId="2" fillId="33" borderId="0" xfId="0" applyFont="1" applyFill="1"/>
    <x:xf numFmtId="0" fontId="2" fillId="34" borderId="3" xfId="0" applyFont="1" applyFill="1" applyBorder="1"/>
    <x:xf numFmtId="0" fontId="8" fillId="24" borderId="3" xfId="0" applyFont="1" applyFill="1" applyBorder="1"/>
    <x:xf numFmtId="0" fontId="2" fillId="35" borderId="0" xfId="0" applyFont="1" applyFill="1"/>
    <x:xf numFmtId="164" fontId="4" fillId="27" borderId="3" xfId="0" applyNumberFormat="1" applyFont="1" applyFill="1" applyBorder="1" applyAlignment="1">
      <x:alignment horizontal="center" vertical="center"/>
    </x:xf>
    <x:xf numFmtId="0" fontId="3" fillId="25" borderId="2" xfId="0" applyFont="1" applyFill="1" applyBorder="1" applyAlignment="1">
      <x:alignment horizontal="center" vertical="center"/>
    </x:xf>
    <x:xf numFmtId="0" fontId="3" fillId="26" borderId="0" xfId="0" applyFont="1" applyFill="1" applyAlignment="1">
      <x:alignment horizontal="center" vertical="center"/>
    </x:xf>
    <x:xf numFmtId="0" fontId="3" fillId="26" borderId="0" xfId="0" applyFont="1" applyFill="1" applyAlignment="1">
      <x:alignment horizontal="left" vertical="center"/>
    </x:xf>
    <x:xf numFmtId="0" fontId="3" fillId="25" borderId="1" xfId="0" applyFont="1" applyFill="1" applyBorder="1" applyAlignment="1">
      <x:alignment horizontal="center" vertical="center" wrapText="1"/>
    </x:xf>
    <x:xf numFmtId="0" fontId="7" fillId="26" borderId="0" xfId="0" applyFont="1" applyFill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6" borderId="0" xfId="0" applyNumberFormat="1" applyFont="1" applyFill="1" applyBorder="1"/>
    <x:xf numFmtId="201" fontId="0" fillId="36" borderId="0" xfId="0" applyNumberFormat="1" applyFont="1" applyFill="1" applyBorder="1"/>
    <x:xf numFmtId="0" fontId="9" fillId="36" borderId="0" xfId="0" applyNumberFormat="1" applyFont="1" applyFill="1" applyBorder="1"/>
    <x:xf numFmtId="201" fontId="9" fillId="36" borderId="0" xfId="0" applyNumberFormat="1" applyFont="1" applyFill="1" applyBorder="1"/>
    <x:xf numFmtId="0" fontId="9" fillId="36" borderId="0" xfId="0" applyNumberFormat="1" applyFont="1" applyFill="1" applyBorder="1" applyAlignment="1">
      <x:alignment vertical="center"/>
    </x:xf>
    <x:xf numFmtId="201" fontId="9" fillId="36" borderId="0" xfId="0" applyNumberFormat="1" applyFont="1" applyFill="1" applyBorder="1" applyAlignment="1">
      <x:alignment vertical="center"/>
    </x:xf>
    <x:xf numFmtId="0" fontId="10" fillId="36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2" fillId="37" borderId="0" xfId="0" applyNumberFormat="1" applyFont="1" applyFill="1" applyBorder="1"/>
    <x:xf numFmtId="0" fontId="12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13" fillId="38" borderId="0" xfId="0" applyNumberFormat="1" applyFont="1" applyFill="1" applyBorder="1"/>
    <x:xf numFmtId="0" fontId="13" fillId="38" borderId="0" xfId="0" applyNumberFormat="1" applyFont="1" applyFill="1" applyBorder="1" applyAlignment="1">
      <x:alignment wrapText="1"/>
    </x:xf>
    <x:xf numFmtId="0" fontId="13" fillId="38" borderId="0" xfId="0" applyNumberFormat="1" applyFont="1" applyFill="1" applyBorder="1" applyAlignment="1">
      <x:alignment horizontal="center" wrapText="1"/>
    </x:xf>
    <x:xf numFmtId="0" fontId="13" fillId="38" borderId="0" xfId="0" applyNumberFormat="1" applyFont="1" applyFill="1" applyBorder="1" applyAlignment="1">
      <x:alignment horizontal="center" vertical="center" wrapText="1"/>
    </x:xf>
    <x:xf numFmtId="0" fontId="13" fillId="38" borderId="0" xfId="0" applyNumberFormat="1" applyFont="1" applyFill="1" applyBorder="1" applyAlignment="1">
      <x:alignment horizontal="center"/>
    </x:xf>
    <x:xf numFmtId="0" fontId="13" fillId="38" borderId="0" xfId="0" applyNumberFormat="1" applyFont="1" applyFill="1" applyBorder="1" applyAlignment="1">
      <x:alignment horizontal="center" vertical="center"/>
    </x:xf>
    <x:xf numFmtId="200" fontId="0" fillId="39" borderId="0" xfId="0" applyNumberFormat="1" applyFont="1" applyFill="1" applyBorder="1"/>
    <x:xf numFmtId="200" fontId="9" fillId="39" borderId="0" xfId="0" applyNumberFormat="1" applyFont="1" applyFill="1" applyBorder="1"/>
    <x:xf numFmtId="200" fontId="9" fillId="39" borderId="0" xfId="0" applyNumberFormat="1" applyFont="1" applyFill="1" applyBorder="1" applyAlignment="1">
      <x:alignment horizontal="center"/>
    </x:xf>
    <x:xf numFmtId="200" fontId="9" fillId="39" borderId="0" xfId="0" applyNumberFormat="1" applyFont="1" applyFill="1" applyBorder="1" applyAlignment="1">
      <x:alignment horizontal="center" vertical="center"/>
    </x:xf>
    <x:xf numFmtId="0" fontId="13" fillId="38" borderId="4" xfId="0" applyNumberFormat="1" applyFont="1" applyFill="1" applyBorder="1" applyAlignment="1">
      <x:alignment horizontal="center" vertical="center" wrapText="1"/>
    </x:xf>
    <x:xf numFmtId="0" fontId="13" fillId="38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200" fontId="9" fillId="39" borderId="4" xfId="0" applyNumberFormat="1" applyFont="1" applyFill="1" applyBorder="1" applyAlignment="1">
      <x:alignment horizontal="center" vertical="center"/>
    </x:xf>
    <x:xf numFmtId="0" fontId="9" fillId="36" borderId="4" xfId="0" applyNumberFormat="1" applyFont="1" applyFill="1" applyBorder="1" applyAlignment="1">
      <x:alignment vertical="center"/>
    </x:xf>
    <x:xf numFmtId="201" fontId="9" fillId="36" borderId="4" xfId="0" applyNumberFormat="1" applyFont="1" applyFill="1" applyBorder="1" applyAlignment="1">
      <x:alignment vertical="center"/>
    </x:xf>
    <x:xf numFmtId="0" fontId="10" fillId="36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0" fontId="9" fillId="36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201" fontId="9" fillId="36" borderId="4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 vertical="center"/>
    </x:xf>
    <x:xf numFmtId="0" fontId="10" fillId="36" borderId="4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horizontal="center" vertical="center"/>
    </x:xf>
    <x:xf numFmtId="0" fontId="9" fillId="36" borderId="4" xfId="0" applyNumberFormat="1" applyFont="1" applyFill="1" applyBorder="1" applyAlignment="1">
      <x:alignment horizontal="center" vertical="center" wrapText="1"/>
    </x:xf>
    <x:xf numFmtId="0" fontId="9" fillId="36" borderId="4" xfId="0" applyNumberFormat="1" applyFont="1" applyFill="1" applyBorder="1" applyAlignment="1">
      <x:alignment vertical="center" wrapText="1"/>
    </x:xf>
    <x:xf numFmtId="201" fontId="9" fillId="36" borderId="4" xfId="0" applyNumberFormat="1" applyFont="1" applyFill="1" applyBorder="1" applyAlignment="1">
      <x:alignment horizontal="center" vertical="center" wrapText="1"/>
    </x:xf>
    <x:xf numFmtId="0" fontId="10" fillId="36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0" xfId="0" applyNumberFormat="1" applyFont="1" applyFill="1" applyBorder="1" applyAlignment="1">
      <x:alignment vertical="center"/>
    </x:xf>
    <x:xf numFmtId="0" fontId="14" fillId="40" borderId="5" xfId="0" applyNumberFormat="1" applyFont="1" applyFill="1" applyBorder="1" applyAlignment="1">
      <x:alignment vertical="center"/>
    </x:xf>
    <x:xf numFmtId="0" fontId="14" fillId="40" borderId="6" xfId="0" applyNumberFormat="1" applyFont="1" applyFill="1" applyBorder="1" applyAlignment="1">
      <x:alignment vertical="center"/>
    </x:xf>
    <x:xf numFmtId="0" fontId="14" fillId="40" borderId="7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EBF3FB"/>
      <x:rgbColor rgb="FF660066"/>
      <x:rgbColor rgb="FFFF8080"/>
      <x:rgbColor rgb="FF0066CC"/>
      <x:rgbColor rgb="FFB8CCE4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6E4F0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000"/>
      <x:rgbColor rgb="FFFF9900"/>
      <x:rgbColor rgb="FFED7D31"/>
      <x:rgbColor rgb="FF9B59B6"/>
      <x:rgbColor rgb="FF70AD47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ee26cd7fc4bc6" /><Relationship Type="http://schemas.openxmlformats.org/officeDocument/2006/relationships/theme" Target="/xl/theme/theme1.xml" Id="Rcb9366d5a99d4049" /><Relationship Type="http://schemas.openxmlformats.org/officeDocument/2006/relationships/sharedStrings" Target="/xl/sharedStrings.xml" Id="R65446beaca5b4ab9" /><Relationship Type="http://schemas.openxmlformats.org/officeDocument/2006/relationships/worksheet" Target="/xl/worksheets/sheet1.xml" Id="R2181e47218f04c52" /><Relationship Type="http://schemas.openxmlformats.org/officeDocument/2006/relationships/worksheet" Target="/xl/worksheets/sheet2.xml" Id="R3bca1474a64e453a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FormatPr defaultColWidth="8.7265625" defaultRowHeight="14"/>
  <x:cols>
    <x:col min="1" max="1" width="9.81640625" style="18" customWidth="1"/>
    <x:col min="2" max="2" width="51" style="18" customWidth="1"/>
    <x:col min="3" max="3" width="16.7265625" style="18" customWidth="1"/>
    <x:col min="4" max="4" width="14" style="18" customWidth="1"/>
    <x:col min="5" max="6" width="12" style="18" customWidth="1"/>
    <x:col min="7" max="22" width="4.453125" style="18" customWidth="1"/>
    <x:col min="23" max="16384" width="8.7265625" style="18" customWidth="0"/>
  </x:cols>
  <x:sheetData>
    <x:row r="1" ht="24" customHeight="1">
      <x:c r="A1" s="56" t="s">
        <x:v>0</x:v>
      </x:c>
      <x:c r="B1" s="56"/>
      <x:c r="C1" s="54" t="s">
        <x:v>1</x:v>
      </x:c>
      <x:c r="D1" s="54"/>
      <x:c r="E1" s="54"/>
      <x:c r="F1" s="54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</x:row>
    <x:row r="2" ht="18" customHeight="1">
      <x:c r="A2" s="55" t="s">
        <x:v>2</x:v>
      </x:c>
      <x:c r="B2" s="55" t="s">
        <x:v>3</x:v>
      </x:c>
      <x:c r="C2" s="55" t="s">
        <x:v>4</x:v>
      </x:c>
      <x:c r="D2" s="55" t="s">
        <x:v>5</x:v>
      </x:c>
      <x:c r="E2" s="55" t="s">
        <x:v>6</x:v>
      </x:c>
      <x:c r="F2" s="55" t="s">
        <x:v>7</x:v>
      </x:c>
      <x:c r="G2" s="52" t="s">
        <x:v>8</x:v>
      </x:c>
      <x:c r="H2" s="52"/>
      <x:c r="I2" s="52"/>
      <x:c r="J2" s="52"/>
      <x:c r="K2" s="52" t="s">
        <x:v>9</x:v>
      </x:c>
      <x:c r="L2" s="52"/>
      <x:c r="M2" s="52"/>
      <x:c r="N2" s="52"/>
      <x:c r="O2" s="52" t="s">
        <x:v>10</x:v>
      </x:c>
      <x:c r="P2" s="52"/>
      <x:c r="Q2" s="52"/>
      <x:c r="R2" s="52"/>
    </x:row>
    <x:row r="3" ht="15.75" customHeight="1">
      <x:c r="A3" s="55"/>
      <x:c r="B3" s="55"/>
      <x:c r="C3" s="55"/>
      <x:c r="D3" s="55"/>
      <x:c r="E3" s="55"/>
      <x:c r="F3" s="55"/>
      <x:c r="G3" s="35" t="s">
        <x:v>11</x:v>
      </x:c>
      <x:c r="H3" s="35" t="s">
        <x:v>12</x:v>
      </x:c>
      <x:c r="I3" s="35" t="s">
        <x:v>13</x:v>
      </x:c>
      <x:c r="J3" s="35" t="s">
        <x:v>14</x:v>
      </x:c>
      <x:c r="K3" s="35" t="s">
        <x:v>11</x:v>
      </x:c>
      <x:c r="L3" s="35" t="s">
        <x:v>12</x:v>
      </x:c>
      <x:c r="M3" s="35" t="s">
        <x:v>13</x:v>
      </x:c>
      <x:c r="N3" s="35" t="s">
        <x:v>14</x:v>
      </x:c>
      <x:c r="O3" s="35" t="s">
        <x:v>11</x:v>
      </x:c>
      <x:c r="P3" s="35" t="s">
        <x:v>12</x:v>
      </x:c>
      <x:c r="Q3" s="35" t="s">
        <x:v>13</x:v>
      </x:c>
      <x:c r="R3" s="35" t="s">
        <x:v>14</x:v>
      </x:c>
    </x:row>
    <x:row r="4" ht="15.75" customHeight="1">
      <x:c r="A4" s="39" t="s">
        <x:v>15</x:v>
      </x:c>
      <x:c r="B4" s="38" t="s">
        <x:v>16</x:v>
      </x:c>
      <x:c r="C4" s="37" t="s">
        <x:v>17</x:v>
      </x:c>
      <x:c r="D4" s="37" t="s">
        <x:v>18</x:v>
      </x:c>
      <x:c r="E4" s="41">
        <x:v>46187</x:v>
      </x:c>
      <x:c r="F4" s="41">
        <x:v>46190</x:v>
      </x:c>
      <x:c r="G4" s="37"/>
      <x:c r="H4" s="37"/>
      <x:c r="I4" s="37"/>
      <x:c r="J4" s="37"/>
      <x:c r="K4" s="37"/>
      <x:c r="L4" s="50"/>
      <x:c r="M4" s="46"/>
      <x:c r="N4" s="37"/>
      <x:c r="O4" s="37"/>
      <x:c r="P4" s="37"/>
      <x:c r="Q4" s="37"/>
      <x:c r="R4" s="37"/>
    </x:row>
    <x:row r="5" ht="15.75" customHeight="1">
      <x:c r="A5" s="14" t="s">
        <x:v>19</x:v>
      </x:c>
      <x:c r="B5" s="15" t="s">
        <x:v>20</x:v>
      </x:c>
      <x:c r="C5" s="45" t="s">
        <x:v>17</x:v>
      </x:c>
      <x:c r="D5" s="45" t="s">
        <x:v>18</x:v>
      </x:c>
      <x:c r="E5" s="3">
        <x:v>46187</x:v>
      </x:c>
      <x:c r="F5" s="3">
        <x:v>46190</x:v>
      </x:c>
      <x:c r="G5" s="2"/>
      <x:c r="H5" s="2"/>
      <x:c r="I5" s="2"/>
      <x:c r="J5" s="2"/>
      <x:c r="K5" s="2"/>
      <x:c r="L5" s="45"/>
      <x:c r="M5" s="46"/>
      <x:c r="N5" s="2"/>
      <x:c r="O5" s="2"/>
      <x:c r="P5" s="2"/>
      <x:c r="Q5" s="2"/>
      <x:c r="R5" s="2"/>
    </x:row>
    <x:row r="6" ht="15.75" customHeight="1">
      <x:c r="A6" s="14" t="s">
        <x:v>21</x:v>
      </x:c>
      <x:c r="B6" s="15" t="s">
        <x:v>22</x:v>
      </x:c>
      <x:c r="C6" s="45" t="s">
        <x:v>17</x:v>
      </x:c>
      <x:c r="D6" s="45" t="s">
        <x:v>18</x:v>
      </x:c>
      <x:c r="E6" s="3">
        <x:v>46187</x:v>
      </x:c>
      <x:c r="F6" s="3">
        <x:v>46190</x:v>
      </x:c>
      <x:c r="G6" s="2"/>
      <x:c r="H6" s="2"/>
      <x:c r="I6" s="2"/>
      <x:c r="J6" s="2"/>
      <x:c r="K6" s="2"/>
      <x:c r="L6" s="45"/>
      <x:c r="M6" s="46"/>
      <x:c r="N6" s="2"/>
      <x:c r="O6" s="2"/>
      <x:c r="P6" s="2"/>
      <x:c r="Q6" s="2"/>
      <x:c r="R6" s="2"/>
    </x:row>
    <x:row r="7" ht="15.75" customHeight="1">
      <x:c r="A7" s="14" t="s">
        <x:v>23</x:v>
      </x:c>
      <x:c r="B7" s="15" t="s">
        <x:v>24</x:v>
      </x:c>
      <x:c r="C7" s="45" t="s">
        <x:v>17</x:v>
      </x:c>
      <x:c r="D7" s="45" t="s">
        <x:v>18</x:v>
      </x:c>
      <x:c r="E7" s="3">
        <x:v>46187</x:v>
      </x:c>
      <x:c r="F7" s="3">
        <x:v>46190</x:v>
      </x:c>
      <x:c r="G7" s="2"/>
      <x:c r="H7" s="2"/>
      <x:c r="I7" s="2"/>
      <x:c r="J7" s="2"/>
      <x:c r="K7" s="2"/>
      <x:c r="L7" s="45"/>
      <x:c r="M7" s="46"/>
      <x:c r="N7" s="2"/>
      <x:c r="O7" s="2"/>
      <x:c r="P7" s="2"/>
      <x:c r="Q7" s="2"/>
      <x:c r="R7" s="2"/>
    </x:row>
    <x:row r="8" ht="15.75" customHeight="1">
      <x:c r="A8" s="14" t="s">
        <x:v>25</x:v>
      </x:c>
      <x:c r="B8" s="15" t="s">
        <x:v>26</x:v>
      </x:c>
      <x:c r="C8" s="45" t="s">
        <x:v>17</x:v>
      </x:c>
      <x:c r="D8" s="45" t="s">
        <x:v>18</x:v>
      </x:c>
      <x:c r="E8" s="3">
        <x:v>46187</x:v>
      </x:c>
      <x:c r="F8" s="3">
        <x:v>46190</x:v>
      </x:c>
      <x:c r="G8" s="2"/>
      <x:c r="H8" s="2"/>
      <x:c r="I8" s="2"/>
      <x:c r="J8" s="2"/>
      <x:c r="K8" s="2"/>
      <x:c r="L8" s="45"/>
      <x:c r="M8" s="46"/>
      <x:c r="N8" s="2"/>
      <x:c r="O8" s="2"/>
      <x:c r="P8" s="2"/>
      <x:c r="Q8" s="2"/>
      <x:c r="R8" s="2"/>
    </x:row>
    <x:row r="9" ht="15.75" customHeight="1">
      <x:c r="A9" s="14" t="s">
        <x:v>27</x:v>
      </x:c>
      <x:c r="B9" s="15" t="s">
        <x:v>28</x:v>
      </x:c>
      <x:c r="C9" s="45" t="s">
        <x:v>17</x:v>
      </x:c>
      <x:c r="D9" s="45" t="s">
        <x:v>18</x:v>
      </x:c>
      <x:c r="E9" s="3">
        <x:v>46187</x:v>
      </x:c>
      <x:c r="F9" s="3">
        <x:v>46190</x:v>
      </x:c>
      <x:c r="G9" s="2"/>
      <x:c r="H9" s="2"/>
      <x:c r="I9" s="2"/>
      <x:c r="J9" s="2"/>
      <x:c r="K9" s="2"/>
      <x:c r="L9" s="45"/>
      <x:c r="M9" s="46"/>
      <x:c r="N9" s="2"/>
      <x:c r="O9" s="2"/>
      <x:c r="P9" s="2"/>
      <x:c r="Q9" s="2"/>
      <x:c r="R9" s="2"/>
    </x:row>
    <x:row r="10" ht="15.75" customHeight="1">
      <x:c r="A10" s="14" t="s">
        <x:v>29</x:v>
      </x:c>
      <x:c r="B10" s="15" t="s">
        <x:v>30</x:v>
      </x:c>
      <x:c r="C10" s="45" t="s">
        <x:v>17</x:v>
      </x:c>
      <x:c r="D10" s="45" t="s">
        <x:v>18</x:v>
      </x:c>
      <x:c r="E10" s="3">
        <x:v>46187</x:v>
      </x:c>
      <x:c r="F10" s="3">
        <x:v>46190</x:v>
      </x:c>
      <x:c r="G10" s="2"/>
      <x:c r="H10" s="2"/>
      <x:c r="I10" s="2"/>
      <x:c r="J10" s="2"/>
      <x:c r="K10" s="2"/>
      <x:c r="L10" s="45"/>
      <x:c r="M10" s="46"/>
      <x:c r="N10" s="2"/>
      <x:c r="O10" s="2"/>
      <x:c r="P10" s="2"/>
      <x:c r="Q10" s="2"/>
      <x:c r="R10" s="2"/>
    </x:row>
    <x:row r="11" ht="15.75" customHeight="1">
      <x:c r="A11" s="14" t="s">
        <x:v>31</x:v>
      </x:c>
      <x:c r="B11" s="15" t="s">
        <x:v>32</x:v>
      </x:c>
      <x:c r="C11" s="45" t="s">
        <x:v>17</x:v>
      </x:c>
      <x:c r="D11" s="45" t="s">
        <x:v>18</x:v>
      </x:c>
      <x:c r="E11" s="3">
        <x:v>46187</x:v>
      </x:c>
      <x:c r="F11" s="3">
        <x:v>46190</x:v>
      </x:c>
      <x:c r="G11" s="2"/>
      <x:c r="H11" s="2"/>
      <x:c r="I11" s="2"/>
      <x:c r="J11" s="2"/>
      <x:c r="K11" s="2"/>
      <x:c r="L11" s="45"/>
      <x:c r="M11" s="46"/>
      <x:c r="N11" s="2"/>
      <x:c r="O11" s="2"/>
      <x:c r="P11" s="2"/>
      <x:c r="Q11" s="2"/>
      <x:c r="R11" s="2"/>
    </x:row>
    <x:row r="12" ht="15.75" customHeight="1">
      <x:c r="A12" s="14" t="s">
        <x:v>33</x:v>
      </x:c>
      <x:c r="B12" s="15" t="s">
        <x:v>34</x:v>
      </x:c>
      <x:c r="C12" s="45" t="s">
        <x:v>17</x:v>
      </x:c>
      <x:c r="D12" s="45" t="s">
        <x:v>18</x:v>
      </x:c>
      <x:c r="E12" s="3">
        <x:v>46187</x:v>
      </x:c>
      <x:c r="F12" s="3">
        <x:v>46190</x:v>
      </x:c>
      <x:c r="G12" s="2"/>
      <x:c r="H12" s="2"/>
      <x:c r="I12" s="2"/>
      <x:c r="J12" s="2"/>
      <x:c r="K12" s="2"/>
      <x:c r="L12" s="45"/>
      <x:c r="M12" s="46"/>
      <x:c r="N12" s="2"/>
      <x:c r="O12" s="2"/>
      <x:c r="P12" s="2"/>
      <x:c r="Q12" s="2"/>
      <x:c r="R12" s="2"/>
    </x:row>
    <x:row r="13" ht="15.75" customHeight="1">
      <x:c r="A13" s="14" t="s">
        <x:v>35</x:v>
      </x:c>
      <x:c r="B13" s="15" t="s">
        <x:v>36</x:v>
      </x:c>
      <x:c r="C13" s="45" t="s">
        <x:v>17</x:v>
      </x:c>
      <x:c r="D13" s="45" t="s">
        <x:v>18</x:v>
      </x:c>
      <x:c r="E13" s="3">
        <x:v>46187</x:v>
      </x:c>
      <x:c r="F13" s="3">
        <x:v>46190</x:v>
      </x:c>
      <x:c r="G13" s="2"/>
      <x:c r="H13" s="2"/>
      <x:c r="I13" s="2"/>
      <x:c r="J13" s="2"/>
      <x:c r="K13" s="2"/>
      <x:c r="L13" s="45"/>
      <x:c r="M13" s="46"/>
      <x:c r="N13" s="2"/>
      <x:c r="O13" s="2"/>
      <x:c r="P13" s="2"/>
      <x:c r="Q13" s="2"/>
      <x:c r="R13" s="2"/>
    </x:row>
    <x:row r="14" ht="15.75" customHeight="1">
      <x:c r="A14" s="39" t="s">
        <x:v>37</x:v>
      </x:c>
      <x:c r="B14" s="38" t="s">
        <x:v>38</x:v>
      </x:c>
      <x:c r="C14" s="37" t="s">
        <x:v>39</x:v>
      </x:c>
      <x:c r="D14" s="37" t="s">
        <x:v>40</x:v>
      </x:c>
      <x:c r="E14" s="40">
        <x:v>46187</x:v>
      </x:c>
      <x:c r="F14" s="40">
        <x:v>46190</x:v>
      </x:c>
      <x:c r="G14" s="37"/>
      <x:c r="H14" s="37"/>
      <x:c r="I14" s="37"/>
      <x:c r="J14" s="37"/>
      <x:c r="K14" s="37"/>
      <x:c r="L14" s="37"/>
      <x:c r="M14" s="48"/>
      <x:c r="N14" s="37"/>
      <x:c r="O14" s="37"/>
      <x:c r="P14" s="37"/>
      <x:c r="Q14" s="37"/>
      <x:c r="R14" s="37"/>
    </x:row>
    <x:row r="15" ht="15.75" customHeight="1">
      <x:c r="A15" s="14" t="s">
        <x:v>41</x:v>
      </x:c>
      <x:c r="B15" s="15" t="s">
        <x:v>42</x:v>
      </x:c>
      <x:c r="C15" s="1" t="s">
        <x:v>17</x:v>
      </x:c>
      <x:c r="D15" s="2" t="s">
        <x:v>18</x:v>
      </x:c>
      <x:c r="E15" s="3">
        <x:v>46187</x:v>
      </x:c>
      <x:c r="F15" s="3">
        <x:v>46190</x:v>
      </x:c>
      <x:c r="G15" s="2"/>
      <x:c r="H15" s="2"/>
      <x:c r="I15" s="2"/>
      <x:c r="J15" s="2"/>
      <x:c r="K15" s="2"/>
      <x:c r="L15" s="2"/>
      <x:c r="M15" s="33"/>
      <x:c r="N15" s="2"/>
      <x:c r="O15" s="2"/>
      <x:c r="P15" s="2"/>
      <x:c r="Q15" s="2"/>
      <x:c r="R15" s="2"/>
    </x:row>
    <x:row r="16" ht="15.75" customHeight="1">
      <x:c r="A16" s="14" t="s">
        <x:v>43</x:v>
      </x:c>
      <x:c r="B16" s="15" t="s">
        <x:v>44</x:v>
      </x:c>
      <x:c r="C16" s="1" t="s">
        <x:v>39</x:v>
      </x:c>
      <x:c r="D16" s="2" t="s">
        <x:v>45</x:v>
      </x:c>
      <x:c r="E16" s="3">
        <x:v>46187</x:v>
      </x:c>
      <x:c r="F16" s="3">
        <x:v>46190</x:v>
      </x:c>
      <x:c r="G16" s="2"/>
      <x:c r="H16" s="2"/>
      <x:c r="I16" s="2"/>
      <x:c r="J16" s="2"/>
      <x:c r="K16" s="2"/>
      <x:c r="L16" s="2"/>
      <x:c r="M16" s="29"/>
      <x:c r="N16" s="2"/>
      <x:c r="O16" s="2"/>
      <x:c r="P16" s="2"/>
      <x:c r="Q16" s="2"/>
      <x:c r="R16" s="2"/>
    </x:row>
    <x:row r="17" ht="15.75" customHeight="1">
      <x:c r="A17" s="14" t="s">
        <x:v>46</x:v>
      </x:c>
      <x:c r="B17" s="15" t="s">
        <x:v>47</x:v>
      </x:c>
      <x:c r="C17" s="1" t="s">
        <x:v>39</x:v>
      </x:c>
      <x:c r="D17" s="2" t="s">
        <x:v>48</x:v>
      </x:c>
      <x:c r="E17" s="3">
        <x:v>46187</x:v>
      </x:c>
      <x:c r="F17" s="3">
        <x:v>46190</x:v>
      </x:c>
      <x:c r="G17" s="2"/>
      <x:c r="H17" s="2"/>
      <x:c r="I17" s="2"/>
      <x:c r="J17" s="2"/>
      <x:c r="K17" s="2"/>
      <x:c r="L17" s="2"/>
      <x:c r="M17" s="28"/>
      <x:c r="N17" s="2"/>
      <x:c r="O17" s="2"/>
      <x:c r="P17" s="2"/>
      <x:c r="Q17" s="2"/>
      <x:c r="R17" s="2"/>
    </x:row>
    <x:row r="18" ht="15.75" customHeight="1">
      <x:c r="A18" s="14" t="s">
        <x:v>49</x:v>
      </x:c>
      <x:c r="B18" s="15" t="s">
        <x:v>50</x:v>
      </x:c>
      <x:c r="C18" s="1" t="s">
        <x:v>39</x:v>
      </x:c>
      <x:c r="D18" s="2" t="s">
        <x:v>51</x:v>
      </x:c>
      <x:c r="E18" s="3">
        <x:v>46187</x:v>
      </x:c>
      <x:c r="F18" s="3">
        <x:v>46190</x:v>
      </x:c>
      <x:c r="G18" s="2"/>
      <x:c r="H18" s="2"/>
      <x:c r="I18" s="2"/>
      <x:c r="J18" s="2"/>
      <x:c r="K18" s="2"/>
      <x:c r="L18" s="2"/>
      <x:c r="M18" s="30"/>
      <x:c r="N18" s="2"/>
      <x:c r="O18" s="2"/>
      <x:c r="P18" s="2"/>
      <x:c r="Q18" s="2"/>
      <x:c r="R18" s="2"/>
    </x:row>
    <x:row r="19" ht="15.75" customHeight="1">
      <x:c r="A19" s="14" t="s">
        <x:v>52</x:v>
      </x:c>
      <x:c r="B19" s="15" t="s">
        <x:v>53</x:v>
      </x:c>
      <x:c r="C19" s="1" t="s">
        <x:v>39</x:v>
      </x:c>
      <x:c r="D19" s="2" t="s">
        <x:v>54</x:v>
      </x:c>
      <x:c r="E19" s="3">
        <x:v>46187</x:v>
      </x:c>
      <x:c r="F19" s="3">
        <x:v>46190</x:v>
      </x:c>
      <x:c r="G19" s="2"/>
      <x:c r="H19" s="2"/>
      <x:c r="I19" s="2"/>
      <x:c r="J19" s="2"/>
      <x:c r="K19" s="2"/>
      <x:c r="L19" s="2"/>
      <x:c r="M19" s="27"/>
      <x:c r="N19" s="2"/>
      <x:c r="O19" s="2"/>
      <x:c r="P19" s="2"/>
      <x:c r="Q19" s="2"/>
      <x:c r="R19" s="2"/>
    </x:row>
    <x:row r="20" ht="15.75" customHeight="1">
      <x:c r="A20" s="39" t="s">
        <x:v>55</x:v>
      </x:c>
      <x:c r="B20" s="38" t="s">
        <x:v>56</x:v>
      </x:c>
      <x:c r="C20" s="37" t="s">
        <x:v>57</x:v>
      </x:c>
      <x:c r="D20" s="37" t="s">
        <x:v>58</x:v>
      </x:c>
      <x:c r="E20" s="40">
        <x:v>46187</x:v>
      </x:c>
      <x:c r="F20" s="40">
        <x:v>46190</x:v>
      </x:c>
      <x:c r="G20" s="37"/>
      <x:c r="H20" s="37"/>
      <x:c r="I20" s="37"/>
      <x:c r="J20" s="37"/>
      <x:c r="K20" s="37"/>
      <x:c r="L20" s="37"/>
      <x:c r="N20" s="32"/>
      <x:c r="O20" s="37"/>
      <x:c r="P20" s="37"/>
      <x:c r="Q20" s="37"/>
      <x:c r="R20" s="37"/>
    </x:row>
    <x:row r="21" ht="15.75" customHeight="1">
      <x:c r="A21" s="14" t="s">
        <x:v>59</x:v>
      </x:c>
      <x:c r="B21" s="15" t="s">
        <x:v>60</x:v>
      </x:c>
      <x:c r="C21" s="2" t="s">
        <x:v>17</x:v>
      </x:c>
      <x:c r="D21" s="6" t="s">
        <x:v>18</x:v>
      </x:c>
      <x:c r="E21" s="7">
        <x:v>46187</x:v>
      </x:c>
      <x:c r="F21" s="3">
        <x:v>46190</x:v>
      </x:c>
      <x:c r="G21" s="2"/>
      <x:c r="H21" s="2"/>
      <x:c r="I21" s="2"/>
      <x:c r="J21" s="2"/>
      <x:c r="K21" s="2"/>
      <x:c r="L21" s="2"/>
      <x:c r="N21" s="33"/>
      <x:c r="O21" s="2"/>
      <x:c r="P21" s="2"/>
      <x:c r="Q21" s="2"/>
      <x:c r="R21" s="2"/>
    </x:row>
    <x:row r="22" ht="15.75" customHeight="1">
      <x:c r="A22" s="14" t="s">
        <x:v>61</x:v>
      </x:c>
      <x:c r="B22" s="15" t="s">
        <x:v>62</x:v>
      </x:c>
      <x:c r="C22" s="2" t="s">
        <x:v>17</x:v>
      </x:c>
      <x:c r="D22" s="6" t="s">
        <x:v>18</x:v>
      </x:c>
      <x:c r="E22" s="7">
        <x:v>46187</x:v>
      </x:c>
      <x:c r="F22" s="3">
        <x:v>46190</x:v>
      </x:c>
      <x:c r="G22" s="2"/>
      <x:c r="H22" s="2"/>
      <x:c r="I22" s="2"/>
      <x:c r="J22" s="2"/>
      <x:c r="K22" s="2"/>
      <x:c r="L22" s="2"/>
      <x:c r="N22" s="33"/>
      <x:c r="O22" s="2"/>
      <x:c r="P22" s="2"/>
      <x:c r="Q22" s="2"/>
      <x:c r="R22" s="2"/>
    </x:row>
    <x:row r="23" ht="15.75" customHeight="1">
      <x:c r="A23" s="39" t="s">
        <x:v>63</x:v>
      </x:c>
      <x:c r="B23" s="38" t="s">
        <x:v>64</x:v>
      </x:c>
      <x:c r="C23" s="37" t="s">
        <x:v>57</x:v>
      </x:c>
      <x:c r="D23" s="37" t="s">
        <x:v>58</x:v>
      </x:c>
      <x:c r="E23" s="40">
        <x:v>46187</x:v>
      </x:c>
      <x:c r="F23" s="40">
        <x:v>46190</x:v>
      </x:c>
      <x:c r="G23" s="37"/>
      <x:c r="H23" s="37"/>
      <x:c r="I23" s="37"/>
      <x:c r="J23" s="37"/>
      <x:c r="K23" s="37"/>
      <x:c r="L23" s="37"/>
      <x:c r="M23" s="31"/>
      <x:c r="N23" s="37"/>
      <x:c r="O23" s="37"/>
      <x:c r="P23" s="37"/>
      <x:c r="Q23" s="37"/>
      <x:c r="R23" s="37"/>
    </x:row>
    <x:row r="24" ht="15.75" customHeight="1">
      <x:c r="A24" s="14" t="s">
        <x:v>65</x:v>
      </x:c>
      <x:c r="B24" s="15" t="s">
        <x:v>66</x:v>
      </x:c>
      <x:c r="C24" s="45" t="s">
        <x:v>57</x:v>
      </x:c>
      <x:c r="D24" s="45" t="s">
        <x:v>58</x:v>
      </x:c>
      <x:c r="E24" s="9">
        <x:v>46187</x:v>
      </x:c>
      <x:c r="F24" s="3">
        <x:v>46190</x:v>
      </x:c>
      <x:c r="G24" s="2"/>
      <x:c r="H24" s="2"/>
      <x:c r="I24" s="2"/>
      <x:c r="J24" s="2"/>
      <x:c r="K24" s="2"/>
      <x:c r="L24" s="2"/>
      <x:c r="M24" s="32"/>
      <x:c r="N24" s="2"/>
      <x:c r="O24" s="2"/>
      <x:c r="P24" s="2"/>
      <x:c r="Q24" s="2"/>
      <x:c r="R24" s="2"/>
    </x:row>
    <x:row r="25" ht="15.75" customHeight="1">
      <x:c r="A25" s="14" t="s">
        <x:v>67</x:v>
      </x:c>
      <x:c r="B25" s="15" t="s">
        <x:v>68</x:v>
      </x:c>
      <x:c r="C25" s="2" t="s">
        <x:v>69</x:v>
      </x:c>
      <x:c r="D25" s="8" t="s">
        <x:v>70</x:v>
      </x:c>
      <x:c r="E25" s="9">
        <x:v>46187</x:v>
      </x:c>
      <x:c r="F25" s="3">
        <x:v>46190</x:v>
      </x:c>
      <x:c r="G25" s="2"/>
      <x:c r="H25" s="2"/>
      <x:c r="I25" s="2"/>
      <x:c r="J25" s="2"/>
      <x:c r="K25" s="2"/>
      <x:c r="L25" s="2"/>
      <x:c r="M25" s="49"/>
      <x:c r="N25" s="2"/>
      <x:c r="O25" s="2"/>
      <x:c r="P25" s="2"/>
      <x:c r="Q25" s="2"/>
      <x:c r="R25" s="2"/>
    </x:row>
    <x:row r="26" ht="15.75" customHeight="1">
      <x:c r="A26" s="14" t="s">
        <x:v>71</x:v>
      </x:c>
      <x:c r="B26" s="15" t="s">
        <x:v>72</x:v>
      </x:c>
      <x:c r="C26" s="2" t="s">
        <x:v>69</x:v>
      </x:c>
      <x:c r="D26" s="10" t="s">
        <x:v>70</x:v>
      </x:c>
      <x:c r="E26" s="11">
        <x:v>46187</x:v>
      </x:c>
      <x:c r="F26" s="3">
        <x:v>46190</x:v>
      </x:c>
      <x:c r="G26" s="2"/>
      <x:c r="H26" s="2"/>
      <x:c r="I26" s="2"/>
      <x:c r="J26" s="2"/>
      <x:c r="K26" s="2"/>
      <x:c r="L26" s="2"/>
      <x:c r="M26" s="34"/>
      <x:c r="N26" s="2"/>
      <x:c r="O26" s="2"/>
      <x:c r="P26" s="2"/>
      <x:c r="Q26" s="2"/>
      <x:c r="R26" s="2"/>
    </x:row>
    <x:row r="27" ht="15.75" customHeight="1">
      <x:c r="A27" s="39" t="s">
        <x:v>73</x:v>
      </x:c>
      <x:c r="B27" s="38" t="s">
        <x:v>74</x:v>
      </x:c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</x:row>
    <x:row r="28" ht="15.75" customHeight="1">
      <x:c r="A28" s="14" t="s">
        <x:v>75</x:v>
      </x:c>
      <x:c r="B28" s="15" t="s">
        <x:v>76</x:v>
      </x:c>
      <x:c r="C28" s="2" t="s">
        <x:v>39</x:v>
      </x:c>
      <x:c r="D28" s="2"/>
      <x:c r="E28" s="2"/>
      <x:c r="F28" s="6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15.75" customHeight="1">
      <x:c r="A29" s="14" t="s">
        <x:v>77</x:v>
      </x:c>
      <x:c r="B29" s="15" t="s">
        <x:v>78</x:v>
      </x:c>
      <x:c r="C29" s="2" t="s">
        <x:v>79</x:v>
      </x:c>
      <x:c r="D29" s="2"/>
      <x:c r="E29" s="2"/>
      <x:c r="F29" s="8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15.75" customHeight="1">
      <x:c r="A30" s="14" t="s">
        <x:v>80</x:v>
      </x:c>
      <x:c r="B30" s="15" t="s">
        <x:v>81</x:v>
      </x:c>
      <x:c r="C30" s="2" t="s">
        <x:v>17</x:v>
      </x:c>
      <x:c r="D30" s="2"/>
      <x:c r="E30" s="2"/>
      <x:c r="F30" s="1"/>
      <x:c r="G30" s="1"/>
      <x:c r="H30" s="1"/>
      <x:c r="I30" s="1"/>
      <x:c r="J30" s="1"/>
      <x:c r="K30" s="1"/>
      <x:c r="L30" s="2"/>
      <x:c r="M30" s="2"/>
      <x:c r="N30" s="2"/>
      <x:c r="O30" s="2"/>
      <x:c r="P30" s="2"/>
      <x:c r="Q30" s="2"/>
      <x:c r="R30" s="2"/>
    </x:row>
    <x:row r="31" ht="15.75" customHeight="1">
      <x:c r="A31" s="14" t="s">
        <x:v>82</x:v>
      </x:c>
      <x:c r="B31" s="15" t="s">
        <x:v>83</x:v>
      </x:c>
      <x:c r="C31" s="2" t="s">
        <x:v>79</x:v>
      </x:c>
      <x:c r="D31" s="2"/>
      <x:c r="E31" s="2"/>
      <x:c r="F31" s="8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15.75" customHeight="1">
      <x:c r="A32" s="14" t="s">
        <x:v>84</x:v>
      </x:c>
      <x:c r="B32" s="15" t="s">
        <x:v>85</x:v>
      </x:c>
      <x:c r="C32" s="2" t="s">
        <x:v>79</x:v>
      </x:c>
      <x:c r="D32" s="2"/>
      <x:c r="E32" s="2"/>
      <x:c r="F32" s="8"/>
      <x:c r="G32" s="8"/>
      <x:c r="H32" s="8"/>
      <x:c r="I32" s="8"/>
      <x:c r="J32" s="8"/>
      <x:c r="K32" s="8"/>
      <x:c r="L32" s="2"/>
      <x:c r="M32" s="2"/>
      <x:c r="N32" s="2"/>
      <x:c r="O32" s="2"/>
      <x:c r="P32" s="2"/>
      <x:c r="Q32" s="2"/>
      <x:c r="R32" s="2"/>
    </x:row>
    <x:row r="33" ht="15.75" customHeight="1">
      <x:c r="A33" s="14" t="s">
        <x:v>86</x:v>
      </x:c>
      <x:c r="B33" s="15" t="s">
        <x:v>87</x:v>
      </x:c>
      <x:c r="C33" s="2" t="s">
        <x:v>69</x:v>
      </x:c>
      <x:c r="D33" s="2"/>
      <x:c r="E33" s="2"/>
      <x:c r="F33" s="10"/>
      <x:c r="G33" s="10"/>
      <x:c r="H33" s="10"/>
      <x:c r="I33" s="10"/>
      <x:c r="J33" s="10"/>
      <x:c r="K33" s="10"/>
      <x:c r="L33" s="2"/>
      <x:c r="M33" s="2"/>
      <x:c r="N33" s="2"/>
      <x:c r="O33" s="2"/>
      <x:c r="P33" s="2"/>
      <x:c r="Q33" s="2"/>
      <x:c r="R33" s="2"/>
    </x:row>
    <x:row r="34" ht="15.75" customHeight="1">
      <x:c r="A34" s="14" t="s">
        <x:v>88</x:v>
      </x:c>
      <x:c r="B34" s="15" t="s">
        <x:v>89</x:v>
      </x:c>
      <x:c r="C34" s="2" t="s">
        <x:v>69</x:v>
      </x:c>
      <x:c r="D34" s="2"/>
      <x:c r="E34" s="2"/>
      <x:c r="F34" s="10"/>
      <x:c r="G34" s="10"/>
      <x:c r="H34" s="10"/>
      <x:c r="I34" s="10"/>
      <x:c r="J34" s="10"/>
      <x:c r="K34" s="10"/>
      <x:c r="L34" s="2"/>
      <x:c r="M34" s="2"/>
      <x:c r="N34" s="2"/>
      <x:c r="O34" s="2"/>
      <x:c r="P34" s="2"/>
      <x:c r="Q34" s="2"/>
      <x:c r="R34" s="2"/>
    </x:row>
    <x:row r="35" ht="15.75" customHeight="1">
      <x:c r="A35" s="39" t="s">
        <x:v>90</x:v>
      </x:c>
      <x:c r="B35" s="38" t="s">
        <x:v>91</x:v>
      </x:c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</x:row>
    <x:row r="36" ht="15.75" customHeight="1">
      <x:c r="A36" s="14" t="s">
        <x:v>92</x:v>
      </x:c>
      <x:c r="B36" s="15" t="s">
        <x:v>93</x:v>
      </x:c>
      <x:c r="C36" s="2" t="s">
        <x:v>79</x:v>
      </x:c>
      <x:c r="D36" s="2"/>
      <x:c r="E36" s="2"/>
      <x:c r="F36" s="2"/>
      <x:c r="G36" s="2"/>
      <x:c r="H36" s="2"/>
      <x:c r="I36" s="2"/>
      <x:c r="J36" s="2"/>
      <x:c r="K36" s="2"/>
      <x:c r="L36" s="8"/>
      <x:c r="M36" s="8"/>
      <x:c r="N36" s="2"/>
      <x:c r="O36" s="2"/>
      <x:c r="P36" s="2"/>
      <x:c r="Q36" s="2"/>
      <x:c r="R36" s="2"/>
    </x:row>
    <x:row r="37" ht="15.75" customHeight="1">
      <x:c r="A37" s="14" t="s">
        <x:v>94</x:v>
      </x:c>
      <x:c r="B37" s="15" t="s">
        <x:v>95</x:v>
      </x:c>
      <x:c r="C37" s="2" t="s">
        <x:v>69</x:v>
      </x:c>
      <x:c r="D37" s="2"/>
      <x:c r="E37" s="2"/>
      <x:c r="F37" s="2"/>
      <x:c r="G37" s="2"/>
      <x:c r="H37" s="2"/>
      <x:c r="I37" s="2"/>
      <x:c r="J37" s="2"/>
      <x:c r="K37" s="2"/>
      <x:c r="L37" s="10"/>
      <x:c r="M37" s="10"/>
      <x:c r="N37" s="2"/>
      <x:c r="O37" s="2"/>
      <x:c r="P37" s="2"/>
      <x:c r="Q37" s="2"/>
      <x:c r="R37" s="2"/>
    </x:row>
    <x:row r="38" ht="15.75" customHeight="1">
      <x:c r="A38" s="39" t="s">
        <x:v>96</x:v>
      </x:c>
      <x:c r="B38" s="38" t="s">
        <x:v>97</x:v>
      </x:c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</x:row>
    <x:row r="39" ht="15.75" customHeight="1">
      <x:c r="A39" s="14" t="s">
        <x:v>98</x:v>
      </x:c>
      <x:c r="B39" s="15" t="s">
        <x:v>99</x:v>
      </x:c>
      <x:c r="C39" s="2" t="s">
        <x:v>39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6"/>
      <x:c r="O39" s="2"/>
      <x:c r="P39" s="2"/>
      <x:c r="Q39" s="2"/>
      <x:c r="R39" s="2"/>
    </x:row>
    <x:row r="40" ht="15.75" customHeight="1">
      <x:c r="A40" s="14" t="s">
        <x:v>100</x:v>
      </x:c>
      <x:c r="B40" s="15" t="s">
        <x:v>101</x:v>
      </x:c>
      <x:c r="C40" s="2" t="s">
        <x:v>17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1"/>
      <x:c r="O40" s="2"/>
      <x:c r="P40" s="2"/>
      <x:c r="Q40" s="2"/>
      <x:c r="R40" s="2"/>
    </x:row>
    <x:row r="41" ht="15.75" customHeight="1"/>
    <x:row r="42" ht="15.75" customHeight="1">
      <x:c r="A42" s="16" t="s">
        <x:v>102</x:v>
      </x:c>
      <x:c r="B42" s="17" t="s">
        <x:v>103</x:v>
      </x:c>
      <x:c r="C42" s="42"/>
    </x:row>
    <x:row r="43" ht="15.75" customHeight="1">
      <x:c r="A43" s="16"/>
      <x:c r="B43" s="17" t="s">
        <x:v>104</x:v>
      </x:c>
      <x:c r="C43" s="20"/>
    </x:row>
    <x:row r="44" ht="15.75" customHeight="1">
      <x:c r="A44" s="16"/>
      <x:c r="B44" s="17" t="s">
        <x:v>105</x:v>
      </x:c>
      <x:c r="C44" s="43"/>
    </x:row>
    <x:row r="45" ht="15.75" customHeight="1">
      <x:c r="A45" s="16"/>
      <x:c r="B45" s="17" t="s">
        <x:v>106</x:v>
      </x:c>
      <x:c r="C45" s="22"/>
    </x:row>
    <x:row r="46" ht="15.75" customHeight="1">
      <x:c r="A46" s="16"/>
      <x:c r="B46" s="16" t="s">
        <x:v>107</x:v>
      </x:c>
      <x:c r="C46" s="23"/>
    </x:row>
    <x:row r="47" ht="15.75" customHeight="1">
      <x:c r="A47" s="4"/>
      <x:c r="B47" s="17" t="s">
        <x:v>108</x:v>
      </x:c>
      <x:c r="C47" s="24"/>
    </x:row>
    <x:row r="48">
      <x:c r="A48" s="25"/>
      <x:c r="B48" s="17" t="s">
        <x:v>109</x:v>
      </x:c>
      <x:c r="C48" s="44"/>
    </x:row>
    <x:row r="49">
      <x:c r="B49" s="18" t="s">
        <x:v>110</x:v>
      </x:c>
      <x:c r="C49" s="47"/>
    </x:row>
    <x:row r="50" ht="13.5" customHeight="1"/>
    <x:row r="51" ht="13.5" customHeight="1"/>
    <x:row r="52" ht="13.5" customHeight="1"/>
    <x:row r="53" ht="13.5" customHeight="1"/>
    <x:row r="54" ht="13.5" customHeight="1"/>
  </x:sheetData>
  <x:mergeCells>
    <x:mergeCell ref="G2:J2"/>
    <x:mergeCell ref="K2:N2"/>
    <x:mergeCell ref="O2:R2"/>
    <x:mergeCell ref="A1:B1"/>
    <x:mergeCell ref="C1:F1"/>
    <x:mergeCell ref="A2:A3"/>
    <x:mergeCell ref="B2:B3"/>
    <x:mergeCell ref="C2:C3"/>
    <x:mergeCell ref="D2:D3"/>
    <x:mergeCell ref="E2:E3"/>
    <x:mergeCell ref="F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864"/>
  </x:sheetPr>
  <x:sheetViews>
    <x:sheetView showGridLines="0" workbookViewId="0"/>
  </x:sheetViews>
  <x:sheetFormatPr defaultColWidth="8.7265625" defaultRowHeight="14"/>
  <x:cols>
    <x:col min="1" max="1" width="11" style="18" hidden="0" customWidth="1"/>
    <x:col min="2" max="2" width="47" style="18" hidden="0" customWidth="1"/>
    <x:col min="3" max="3" width="16" style="18" hidden="0" customWidth="1"/>
    <x:col min="4" max="4" width="15" style="18" hidden="0" customWidth="1"/>
    <x:col min="5" max="5" width="14" style="18" hidden="0" customWidth="1"/>
    <x:col min="6" max="6" width="14" style="18" hidden="0" customWidth="1"/>
    <x:col min="7" max="22" width="4.453125" style="18" customWidth="1"/>
    <x:col min="23" max="16384" width="8.7265625" style="18" customWidth="0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26" customHeight="1">
      <x:c r="A1" s="71" t="str">
        <x:v>PROJECT TITLE</x:v>
      </x:c>
      <x:c r="B1" s="71"/>
      <x:c r="C1" s="71" t="str">
        <x:v>Senior Citizen Assistance System for Barangay Services</x:v>
      </x:c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</x:row>
    <x:row r="2" ht="32" customHeight="1">
      <x:c r="A2" s="83" t="str">
        <x:v>WBS
NUMBER</x:v>
      </x:c>
      <x:c r="B2" s="83" t="str">
        <x:v>TASK TITLE</x:v>
      </x:c>
      <x:c r="C2" s="83" t="str">
        <x:v>TASK OWNER</x:v>
      </x:c>
      <x:c r="D2" s="83" t="str">
        <x:v>NAME</x:v>
      </x:c>
      <x:c r="E2" s="83" t="str">
        <x:v>START
DATE</x:v>
      </x:c>
      <x:c r="F2" s="83" t="str">
        <x:v>DUE
DATE</x:v>
      </x:c>
      <x:c r="G2" s="84" t="str">
        <x:v>SEPTEMBER 2026</x:v>
      </x:c>
      <x:c r="H2" s="84"/>
      <x:c r="I2" s="84"/>
      <x:c r="J2" s="84"/>
      <x:c r="K2" s="84" t="str">
        <x:v>OCTOBER 2026</x:v>
      </x:c>
      <x:c r="L2" s="84"/>
      <x:c r="M2" s="84"/>
      <x:c r="N2" s="84"/>
      <x:c r="O2" s="84" t="str">
        <x:v>NOVEMBER 2026</x:v>
      </x:c>
      <x:c r="P2" s="84"/>
      <x:c r="Q2" s="84"/>
      <x:c r="R2" s="84"/>
    </x:row>
    <x:row r="3" ht="22" customHeight="1">
      <x:c r="A3" s="85"/>
      <x:c r="B3" s="85"/>
      <x:c r="C3" s="85"/>
      <x:c r="D3" s="85"/>
      <x:c r="E3" s="85"/>
      <x:c r="F3" s="85"/>
      <x:c r="G3" s="86" t="n">
        <x:v>46272</x:v>
      </x:c>
      <x:c r="H3" s="86" t="n">
        <x:v>46279</x:v>
      </x:c>
      <x:c r="I3" s="86" t="n">
        <x:v>46286</x:v>
      </x:c>
      <x:c r="J3" s="86" t="n">
        <x:v>46293</x:v>
      </x:c>
      <x:c r="K3" s="86" t="n">
        <x:v>46300</x:v>
      </x:c>
      <x:c r="L3" s="86" t="n">
        <x:v>46307</x:v>
      </x:c>
      <x:c r="M3" s="86" t="n">
        <x:v>46314</x:v>
      </x:c>
      <x:c r="N3" s="86" t="n">
        <x:v>46321</x:v>
      </x:c>
      <x:c r="O3" s="86" t="n">
        <x:v>46328</x:v>
      </x:c>
      <x:c r="P3" s="86" t="n">
        <x:v>46335</x:v>
      </x:c>
      <x:c r="Q3" s="86" t="n">
        <x:v>46342</x:v>
      </x:c>
      <x:c r="R3" s="86" t="n">
        <x:v>46349</x:v>
      </x:c>
    </x:row>
    <x:row r="4" ht="28" customHeight="1">
      <x:c r="A4" s="99" t="str">
        <x:v>1</x:v>
      </x:c>
      <x:c r="B4" s="100" t="str">
        <x:v>Planning and Design</x:v>
      </x:c>
      <x:c r="C4" s="99" t="str">
        <x:v>Project Manager</x:v>
      </x:c>
      <x:c r="D4" s="99" t="str">
        <x:v>Alfanta</x:v>
      </x:c>
      <x:c r="E4" s="101" t="n">
        <x:v>46272</x:v>
      </x:c>
      <x:c r="F4" s="101" t="n">
        <x:v>46283</x:v>
      </x:c>
      <x:c r="G4" s="102" t="str">
        <x:f>IF(AND(G$3&lt;=$F4,G$3+6&gt;=$E4),"■","")</x:f>
        <x:v>■</x:v>
      </x:c>
      <x:c r="H4" s="102" t="str">
        <x:f>IF(AND(H$3&lt;=$F4,H$3+6&gt;=$E4),"■","")</x:f>
        <x:v>■</x:v>
      </x:c>
      <x:c r="I4" s="102" t="str">
        <x:f>IF(AND(I$3&lt;=$F4,I$3+6&gt;=$E4),"■","")</x:f>
      </x:c>
      <x:c r="J4" s="102" t="str">
        <x:f>IF(AND(J$3&lt;=$F4,J$3+6&gt;=$E4),"■","")</x:f>
      </x:c>
      <x:c r="K4" s="102" t="str">
        <x:f>IF(AND(K$3&lt;=$F4,K$3+6&gt;=$E4),"■","")</x:f>
      </x:c>
      <x:c r="L4" s="102" t="str">
        <x:f>IF(AND(L$3&lt;=$F4,L$3+6&gt;=$E4),"■","")</x:f>
      </x:c>
      <x:c r="M4" s="102" t="str">
        <x:f>IF(AND(M$3&lt;=$F4,M$3+6&gt;=$E4),"■","")</x:f>
      </x:c>
      <x:c r="N4" s="102" t="str">
        <x:f>IF(AND(N$3&lt;=$F4,N$3+6&gt;=$E4),"■","")</x:f>
      </x:c>
      <x:c r="O4" s="102" t="str">
        <x:f>IF(AND(O$3&lt;=$F4,O$3+6&gt;=$E4),"■","")</x:f>
      </x:c>
      <x:c r="P4" s="102" t="str">
        <x:f>IF(AND(P$3&lt;=$F4,P$3+6&gt;=$E4),"■","")</x:f>
      </x:c>
      <x:c r="Q4" s="102" t="str">
        <x:f>IF(AND(Q$3&lt;=$F4,Q$3+6&gt;=$E4),"■","")</x:f>
      </x:c>
      <x:c r="R4" s="102" t="str">
        <x:f>IF(AND(R$3&lt;=$F4,R$3+6&gt;=$E4),"■","")</x:f>
      </x:c>
    </x:row>
    <x:row r="5" ht="28" customHeight="1">
      <x:c r="A5" s="103" t="str">
        <x:v>1.1</x:v>
      </x:c>
      <x:c r="B5" s="104" t="str">
        <x:v>Requirements gathering and scope definition</x:v>
      </x:c>
      <x:c r="C5" s="103" t="str">
        <x:v>Project Manager</x:v>
      </x:c>
      <x:c r="D5" s="103" t="str">
        <x:v>Alfanta</x:v>
      </x:c>
      <x:c r="E5" s="105" t="n">
        <x:v>46272</x:v>
      </x:c>
      <x:c r="F5" s="105" t="n">
        <x:v>46276</x:v>
      </x:c>
      <x:c r="G5" s="106" t="str">
        <x:f>IF(AND(G$3&lt;=$F5,G$3+6&gt;=$E5),"■","")</x:f>
        <x:v>■</x:v>
      </x:c>
      <x:c r="H5" s="106" t="str">
        <x:f>IF(AND(H$3&lt;=$F5,H$3+6&gt;=$E5),"■","")</x:f>
      </x:c>
      <x:c r="I5" s="106" t="str">
        <x:f>IF(AND(I$3&lt;=$F5,I$3+6&gt;=$E5),"■","")</x:f>
      </x:c>
      <x:c r="J5" s="106" t="str">
        <x:f>IF(AND(J$3&lt;=$F5,J$3+6&gt;=$E5),"■","")</x:f>
      </x:c>
      <x:c r="K5" s="106" t="str">
        <x:f>IF(AND(K$3&lt;=$F5,K$3+6&gt;=$E5),"■","")</x:f>
      </x:c>
      <x:c r="L5" s="106" t="str">
        <x:f>IF(AND(L$3&lt;=$F5,L$3+6&gt;=$E5),"■","")</x:f>
      </x:c>
      <x:c r="M5" s="106" t="str">
        <x:f>IF(AND(M$3&lt;=$F5,M$3+6&gt;=$E5),"■","")</x:f>
      </x:c>
      <x:c r="N5" s="106" t="str">
        <x:f>IF(AND(N$3&lt;=$F5,N$3+6&gt;=$E5),"■","")</x:f>
      </x:c>
      <x:c r="O5" s="106" t="str">
        <x:f>IF(AND(O$3&lt;=$F5,O$3+6&gt;=$E5),"■","")</x:f>
      </x:c>
      <x:c r="P5" s="106" t="str">
        <x:f>IF(AND(P$3&lt;=$F5,P$3+6&gt;=$E5),"■","")</x:f>
      </x:c>
      <x:c r="Q5" s="106" t="str">
        <x:f>IF(AND(Q$3&lt;=$F5,Q$3+6&gt;=$E5),"■","")</x:f>
      </x:c>
      <x:c r="R5" s="106" t="str">
        <x:f>IF(AND(R$3&lt;=$F5,R$3+6&gt;=$E5),"■","")</x:f>
      </x:c>
    </x:row>
    <x:row r="6" ht="28" customHeight="1">
      <x:c r="A6" s="103" t="str">
        <x:v>1.2</x:v>
      </x:c>
      <x:c r="B6" s="104" t="str">
        <x:v>Process mapping and database design</x:v>
      </x:c>
      <x:c r="C6" s="103" t="str">
        <x:v>System Analyst</x:v>
      </x:c>
      <x:c r="D6" s="103" t="str">
        <x:v>Dela Cerna</x:v>
      </x:c>
      <x:c r="E6" s="105" t="n">
        <x:v>46279</x:v>
      </x:c>
      <x:c r="F6" s="105" t="n">
        <x:v>46283</x:v>
      </x:c>
      <x:c r="G6" s="106" t="str">
        <x:f>IF(AND(G$3&lt;=$F6,G$3+6&gt;=$E6),"■","")</x:f>
      </x:c>
      <x:c r="H6" s="106" t="str">
        <x:f>IF(AND(H$3&lt;=$F6,H$3+6&gt;=$E6),"■","")</x:f>
        <x:v>■</x:v>
      </x:c>
      <x:c r="I6" s="106" t="str">
        <x:f>IF(AND(I$3&lt;=$F6,I$3+6&gt;=$E6),"■","")</x:f>
      </x:c>
      <x:c r="J6" s="106" t="str">
        <x:f>IF(AND(J$3&lt;=$F6,J$3+6&gt;=$E6),"■","")</x:f>
      </x:c>
      <x:c r="K6" s="106" t="str">
        <x:f>IF(AND(K$3&lt;=$F6,K$3+6&gt;=$E6),"■","")</x:f>
      </x:c>
      <x:c r="L6" s="106" t="str">
        <x:f>IF(AND(L$3&lt;=$F6,L$3+6&gt;=$E6),"■","")</x:f>
      </x:c>
      <x:c r="M6" s="106" t="str">
        <x:f>IF(AND(M$3&lt;=$F6,M$3+6&gt;=$E6),"■","")</x:f>
      </x:c>
      <x:c r="N6" s="106" t="str">
        <x:f>IF(AND(N$3&lt;=$F6,N$3+6&gt;=$E6),"■","")</x:f>
      </x:c>
      <x:c r="O6" s="106" t="str">
        <x:f>IF(AND(O$3&lt;=$F6,O$3+6&gt;=$E6),"■","")</x:f>
      </x:c>
      <x:c r="P6" s="106" t="str">
        <x:f>IF(AND(P$3&lt;=$F6,P$3+6&gt;=$E6),"■","")</x:f>
      </x:c>
      <x:c r="Q6" s="106" t="str">
        <x:f>IF(AND(Q$3&lt;=$F6,Q$3+6&gt;=$E6),"■","")</x:f>
      </x:c>
      <x:c r="R6" s="106" t="str">
        <x:f>IF(AND(R$3&lt;=$F6,R$3+6&gt;=$E6),"■","")</x:f>
      </x:c>
    </x:row>
    <x:row r="7" ht="28" customHeight="1">
      <x:c r="A7" s="103" t="str">
        <x:v>1.3</x:v>
      </x:c>
      <x:c r="B7" s="104" t="str">
        <x:v>Interface wireframes and project setup</x:v>
      </x:c>
      <x:c r="C7" s="103" t="str">
        <x:v>Developer</x:v>
      </x:c>
      <x:c r="D7" s="103" t="str">
        <x:v>Paragat</x:v>
      </x:c>
      <x:c r="E7" s="105" t="n">
        <x:v>46272</x:v>
      </x:c>
      <x:c r="F7" s="105" t="n">
        <x:v>46283</x:v>
      </x:c>
      <x:c r="G7" s="106" t="str">
        <x:f>IF(AND(G$3&lt;=$F7,G$3+6&gt;=$E7),"■","")</x:f>
        <x:v>■</x:v>
      </x:c>
      <x:c r="H7" s="106" t="str">
        <x:f>IF(AND(H$3&lt;=$F7,H$3+6&gt;=$E7),"■","")</x:f>
        <x:v>■</x:v>
      </x:c>
      <x:c r="I7" s="106" t="str">
        <x:f>IF(AND(I$3&lt;=$F7,I$3+6&gt;=$E7),"■","")</x:f>
      </x:c>
      <x:c r="J7" s="106" t="str">
        <x:f>IF(AND(J$3&lt;=$F7,J$3+6&gt;=$E7),"■","")</x:f>
      </x:c>
      <x:c r="K7" s="106" t="str">
        <x:f>IF(AND(K$3&lt;=$F7,K$3+6&gt;=$E7),"■","")</x:f>
      </x:c>
      <x:c r="L7" s="106" t="str">
        <x:f>IF(AND(L$3&lt;=$F7,L$3+6&gt;=$E7),"■","")</x:f>
      </x:c>
      <x:c r="M7" s="106" t="str">
        <x:f>IF(AND(M$3&lt;=$F7,M$3+6&gt;=$E7),"■","")</x:f>
      </x:c>
      <x:c r="N7" s="106" t="str">
        <x:f>IF(AND(N$3&lt;=$F7,N$3+6&gt;=$E7),"■","")</x:f>
      </x:c>
      <x:c r="O7" s="106" t="str">
        <x:f>IF(AND(O$3&lt;=$F7,O$3+6&gt;=$E7),"■","")</x:f>
      </x:c>
      <x:c r="P7" s="106" t="str">
        <x:f>IF(AND(P$3&lt;=$F7,P$3+6&gt;=$E7),"■","")</x:f>
      </x:c>
      <x:c r="Q7" s="106" t="str">
        <x:f>IF(AND(Q$3&lt;=$F7,Q$3+6&gt;=$E7),"■","")</x:f>
      </x:c>
      <x:c r="R7" s="106" t="str">
        <x:f>IF(AND(R$3&lt;=$F7,R$3+6&gt;=$E7),"■","")</x:f>
      </x:c>
    </x:row>
    <x:row r="8" ht="28" customHeight="1">
      <x:c r="A8" s="99" t="str">
        <x:v>2</x:v>
      </x:c>
      <x:c r="B8" s="100" t="str">
        <x:v>Core System</x:v>
      </x:c>
      <x:c r="C8" s="99" t="str">
        <x:v>Project Manager</x:v>
      </x:c>
      <x:c r="D8" s="99" t="str">
        <x:v>Alfanta</x:v>
      </x:c>
      <x:c r="E8" s="101" t="n">
        <x:v>46279</x:v>
      </x:c>
      <x:c r="F8" s="101" t="n">
        <x:v>46304</x:v>
      </x:c>
      <x:c r="G8" s="102" t="str">
        <x:f>IF(AND(G$3&lt;=$F8,G$3+6&gt;=$E8),"■","")</x:f>
      </x:c>
      <x:c r="H8" s="102" t="str">
        <x:f>IF(AND(H$3&lt;=$F8,H$3+6&gt;=$E8),"■","")</x:f>
        <x:v>■</x:v>
      </x:c>
      <x:c r="I8" s="102" t="str">
        <x:f>IF(AND(I$3&lt;=$F8,I$3+6&gt;=$E8),"■","")</x:f>
        <x:v>■</x:v>
      </x:c>
      <x:c r="J8" s="102" t="str">
        <x:f>IF(AND(J$3&lt;=$F8,J$3+6&gt;=$E8),"■","")</x:f>
        <x:v>■</x:v>
      </x:c>
      <x:c r="K8" s="102" t="str">
        <x:f>IF(AND(K$3&lt;=$F8,K$3+6&gt;=$E8),"■","")</x:f>
        <x:v>■</x:v>
      </x:c>
      <x:c r="L8" s="102" t="str">
        <x:f>IF(AND(L$3&lt;=$F8,L$3+6&gt;=$E8),"■","")</x:f>
      </x:c>
      <x:c r="M8" s="102" t="str">
        <x:f>IF(AND(M$3&lt;=$F8,M$3+6&gt;=$E8),"■","")</x:f>
      </x:c>
      <x:c r="N8" s="102" t="str">
        <x:f>IF(AND(N$3&lt;=$F8,N$3+6&gt;=$E8),"■","")</x:f>
      </x:c>
      <x:c r="O8" s="102" t="str">
        <x:f>IF(AND(O$3&lt;=$F8,O$3+6&gt;=$E8),"■","")</x:f>
      </x:c>
      <x:c r="P8" s="102" t="str">
        <x:f>IF(AND(P$3&lt;=$F8,P$3+6&gt;=$E8),"■","")</x:f>
      </x:c>
      <x:c r="Q8" s="102" t="str">
        <x:f>IF(AND(Q$3&lt;=$F8,Q$3+6&gt;=$E8),"■","")</x:f>
      </x:c>
      <x:c r="R8" s="102" t="str">
        <x:f>IF(AND(R$3&lt;=$F8,R$3+6&gt;=$E8),"■","")</x:f>
      </x:c>
    </x:row>
    <x:row r="9" ht="28" customHeight="1">
      <x:c r="A9" s="103" t="str">
        <x:v>2.1</x:v>
      </x:c>
      <x:c r="B9" s="104" t="str">
        <x:v>Development environment and database implementation</x:v>
      </x:c>
      <x:c r="C9" s="103" t="str">
        <x:v>Developer</x:v>
      </x:c>
      <x:c r="D9" s="103" t="str">
        <x:v>Paragat</x:v>
      </x:c>
      <x:c r="E9" s="105" t="n">
        <x:v>46279</x:v>
      </x:c>
      <x:c r="F9" s="105" t="n">
        <x:v>46283</x:v>
      </x:c>
      <x:c r="G9" s="106" t="str">
        <x:f>IF(AND(G$3&lt;=$F9,G$3+6&gt;=$E9),"■","")</x:f>
      </x:c>
      <x:c r="H9" s="106" t="str">
        <x:f>IF(AND(H$3&lt;=$F9,H$3+6&gt;=$E9),"■","")</x:f>
        <x:v>■</x:v>
      </x:c>
      <x:c r="I9" s="106" t="str">
        <x:f>IF(AND(I$3&lt;=$F9,I$3+6&gt;=$E9),"■","")</x:f>
      </x:c>
      <x:c r="J9" s="106" t="str">
        <x:f>IF(AND(J$3&lt;=$F9,J$3+6&gt;=$E9),"■","")</x:f>
      </x:c>
      <x:c r="K9" s="106" t="str">
        <x:f>IF(AND(K$3&lt;=$F9,K$3+6&gt;=$E9),"■","")</x:f>
      </x:c>
      <x:c r="L9" s="106" t="str">
        <x:f>IF(AND(L$3&lt;=$F9,L$3+6&gt;=$E9),"■","")</x:f>
      </x:c>
      <x:c r="M9" s="106" t="str">
        <x:f>IF(AND(M$3&lt;=$F9,M$3+6&gt;=$E9),"■","")</x:f>
      </x:c>
      <x:c r="N9" s="106" t="str">
        <x:f>IF(AND(N$3&lt;=$F9,N$3+6&gt;=$E9),"■","")</x:f>
      </x:c>
      <x:c r="O9" s="106" t="str">
        <x:f>IF(AND(O$3&lt;=$F9,O$3+6&gt;=$E9),"■","")</x:f>
      </x:c>
      <x:c r="P9" s="106" t="str">
        <x:f>IF(AND(P$3&lt;=$F9,P$3+6&gt;=$E9),"■","")</x:f>
      </x:c>
      <x:c r="Q9" s="106" t="str">
        <x:f>IF(AND(Q$3&lt;=$F9,Q$3+6&gt;=$E9),"■","")</x:f>
      </x:c>
      <x:c r="R9" s="106" t="str">
        <x:f>IF(AND(R$3&lt;=$F9,R$3+6&gt;=$E9),"■","")</x:f>
      </x:c>
    </x:row>
    <x:row r="10" ht="28" customHeight="1">
      <x:c r="A10" s="103" t="str">
        <x:v>2.2</x:v>
      </x:c>
      <x:c r="B10" s="104" t="str">
        <x:v>Authentication and role-based access</x:v>
      </x:c>
      <x:c r="C10" s="103" t="str">
        <x:v>Developer</x:v>
      </x:c>
      <x:c r="D10" s="103" t="str">
        <x:v>Paragat</x:v>
      </x:c>
      <x:c r="E10" s="105" t="n">
        <x:v>46286</x:v>
      </x:c>
      <x:c r="F10" s="105" t="n">
        <x:v>46290</x:v>
      </x:c>
      <x:c r="G10" s="106" t="str">
        <x:f>IF(AND(G$3&lt;=$F10,G$3+6&gt;=$E10),"■","")</x:f>
      </x:c>
      <x:c r="H10" s="106" t="str">
        <x:f>IF(AND(H$3&lt;=$F10,H$3+6&gt;=$E10),"■","")</x:f>
      </x:c>
      <x:c r="I10" s="106" t="str">
        <x:f>IF(AND(I$3&lt;=$F10,I$3+6&gt;=$E10),"■","")</x:f>
        <x:v>■</x:v>
      </x:c>
      <x:c r="J10" s="106" t="str">
        <x:f>IF(AND(J$3&lt;=$F10,J$3+6&gt;=$E10),"■","")</x:f>
      </x:c>
      <x:c r="K10" s="106" t="str">
        <x:f>IF(AND(K$3&lt;=$F10,K$3+6&gt;=$E10),"■","")</x:f>
      </x:c>
      <x:c r="L10" s="106" t="str">
        <x:f>IF(AND(L$3&lt;=$F10,L$3+6&gt;=$E10),"■","")</x:f>
      </x:c>
      <x:c r="M10" s="106" t="str">
        <x:f>IF(AND(M$3&lt;=$F10,M$3+6&gt;=$E10),"■","")</x:f>
      </x:c>
      <x:c r="N10" s="106" t="str">
        <x:f>IF(AND(N$3&lt;=$F10,N$3+6&gt;=$E10),"■","")</x:f>
      </x:c>
      <x:c r="O10" s="106" t="str">
        <x:f>IF(AND(O$3&lt;=$F10,O$3+6&gt;=$E10),"■","")</x:f>
      </x:c>
      <x:c r="P10" s="106" t="str">
        <x:f>IF(AND(P$3&lt;=$F10,P$3+6&gt;=$E10),"■","")</x:f>
      </x:c>
      <x:c r="Q10" s="106" t="str">
        <x:f>IF(AND(Q$3&lt;=$F10,Q$3+6&gt;=$E10),"■","")</x:f>
      </x:c>
      <x:c r="R10" s="106" t="str">
        <x:f>IF(AND(R$3&lt;=$F10,R$3+6&gt;=$E10),"■","")</x:f>
      </x:c>
    </x:row>
    <x:row r="11" ht="28" customHeight="1">
      <x:c r="A11" s="103" t="str">
        <x:v>2.3</x:v>
      </x:c>
      <x:c r="B11" s="104" t="str">
        <x:v>Senior registration and profile management</x:v>
      </x:c>
      <x:c r="C11" s="103" t="str">
        <x:v>Developer</x:v>
      </x:c>
      <x:c r="D11" s="103" t="str">
        <x:v>Paragat</x:v>
      </x:c>
      <x:c r="E11" s="105" t="n">
        <x:v>46293</x:v>
      </x:c>
      <x:c r="F11" s="105" t="n">
        <x:v>46297</x:v>
      </x:c>
      <x:c r="G11" s="106" t="str">
        <x:f>IF(AND(G$3&lt;=$F11,G$3+6&gt;=$E11),"■","")</x:f>
      </x:c>
      <x:c r="H11" s="106" t="str">
        <x:f>IF(AND(H$3&lt;=$F11,H$3+6&gt;=$E11),"■","")</x:f>
      </x:c>
      <x:c r="I11" s="106" t="str">
        <x:f>IF(AND(I$3&lt;=$F11,I$3+6&gt;=$E11),"■","")</x:f>
      </x:c>
      <x:c r="J11" s="106" t="str">
        <x:f>IF(AND(J$3&lt;=$F11,J$3+6&gt;=$E11),"■","")</x:f>
        <x:v>■</x:v>
      </x:c>
      <x:c r="K11" s="106" t="str">
        <x:f>IF(AND(K$3&lt;=$F11,K$3+6&gt;=$E11),"■","")</x:f>
      </x:c>
      <x:c r="L11" s="106" t="str">
        <x:f>IF(AND(L$3&lt;=$F11,L$3+6&gt;=$E11),"■","")</x:f>
      </x:c>
      <x:c r="M11" s="106" t="str">
        <x:f>IF(AND(M$3&lt;=$F11,M$3+6&gt;=$E11),"■","")</x:f>
      </x:c>
      <x:c r="N11" s="106" t="str">
        <x:f>IF(AND(N$3&lt;=$F11,N$3+6&gt;=$E11),"■","")</x:f>
      </x:c>
      <x:c r="O11" s="106" t="str">
        <x:f>IF(AND(O$3&lt;=$F11,O$3+6&gt;=$E11),"■","")</x:f>
      </x:c>
      <x:c r="P11" s="106" t="str">
        <x:f>IF(AND(P$3&lt;=$F11,P$3+6&gt;=$E11),"■","")</x:f>
      </x:c>
      <x:c r="Q11" s="106" t="str">
        <x:f>IF(AND(Q$3&lt;=$F11,Q$3+6&gt;=$E11),"■","")</x:f>
      </x:c>
      <x:c r="R11" s="106" t="str">
        <x:f>IF(AND(R$3&lt;=$F11,R$3+6&gt;=$E11),"■","")</x:f>
      </x:c>
    </x:row>
    <x:row r="12" ht="28" customHeight="1">
      <x:c r="A12" s="103" t="str">
        <x:v>2.4</x:v>
      </x:c>
      <x:c r="B12" s="104" t="str">
        <x:v>Administrator registration approval and ID review</x:v>
      </x:c>
      <x:c r="C12" s="103" t="str">
        <x:v>Developer</x:v>
      </x:c>
      <x:c r="D12" s="103" t="str">
        <x:v>Paragat</x:v>
      </x:c>
      <x:c r="E12" s="105" t="n">
        <x:v>46300</x:v>
      </x:c>
      <x:c r="F12" s="105" t="n">
        <x:v>46304</x:v>
      </x:c>
      <x:c r="G12" s="106" t="str">
        <x:f>IF(AND(G$3&lt;=$F12,G$3+6&gt;=$E12),"■","")</x:f>
      </x:c>
      <x:c r="H12" s="106" t="str">
        <x:f>IF(AND(H$3&lt;=$F12,H$3+6&gt;=$E12),"■","")</x:f>
      </x:c>
      <x:c r="I12" s="106" t="str">
        <x:f>IF(AND(I$3&lt;=$F12,I$3+6&gt;=$E12),"■","")</x:f>
      </x:c>
      <x:c r="J12" s="106" t="str">
        <x:f>IF(AND(J$3&lt;=$F12,J$3+6&gt;=$E12),"■","")</x:f>
      </x:c>
      <x:c r="K12" s="106" t="str">
        <x:f>IF(AND(K$3&lt;=$F12,K$3+6&gt;=$E12),"■","")</x:f>
        <x:v>■</x:v>
      </x:c>
      <x:c r="L12" s="106" t="str">
        <x:f>IF(AND(L$3&lt;=$F12,L$3+6&gt;=$E12),"■","")</x:f>
      </x:c>
      <x:c r="M12" s="106" t="str">
        <x:f>IF(AND(M$3&lt;=$F12,M$3+6&gt;=$E12),"■","")</x:f>
      </x:c>
      <x:c r="N12" s="106" t="str">
        <x:f>IF(AND(N$3&lt;=$F12,N$3+6&gt;=$E12),"■","")</x:f>
      </x:c>
      <x:c r="O12" s="106" t="str">
        <x:f>IF(AND(O$3&lt;=$F12,O$3+6&gt;=$E12),"■","")</x:f>
      </x:c>
      <x:c r="P12" s="106" t="str">
        <x:f>IF(AND(P$3&lt;=$F12,P$3+6&gt;=$E12),"■","")</x:f>
      </x:c>
      <x:c r="Q12" s="106" t="str">
        <x:f>IF(AND(Q$3&lt;=$F12,Q$3+6&gt;=$E12),"■","")</x:f>
      </x:c>
      <x:c r="R12" s="106" t="str">
        <x:f>IF(AND(R$3&lt;=$F12,R$3+6&gt;=$E12),"■","")</x:f>
      </x:c>
    </x:row>
    <x:row r="13" ht="28" customHeight="1">
      <x:c r="A13" s="99" t="str">
        <x:v>3</x:v>
      </x:c>
      <x:c r="B13" s="100" t="str">
        <x:v>Barangay Service Features</x:v>
      </x:c>
      <x:c r="C13" s="99" t="str">
        <x:v>Project Manager</x:v>
      </x:c>
      <x:c r="D13" s="99" t="str">
        <x:v>Alfanta</x:v>
      </x:c>
      <x:c r="E13" s="101" t="n">
        <x:v>46300</x:v>
      </x:c>
      <x:c r="F13" s="101" t="n">
        <x:v>46311</x:v>
      </x:c>
      <x:c r="G13" s="102" t="str">
        <x:f>IF(AND(G$3&lt;=$F13,G$3+6&gt;=$E13),"■","")</x:f>
      </x:c>
      <x:c r="H13" s="102" t="str">
        <x:f>IF(AND(H$3&lt;=$F13,H$3+6&gt;=$E13),"■","")</x:f>
      </x:c>
      <x:c r="I13" s="102" t="str">
        <x:f>IF(AND(I$3&lt;=$F13,I$3+6&gt;=$E13),"■","")</x:f>
      </x:c>
      <x:c r="J13" s="102" t="str">
        <x:f>IF(AND(J$3&lt;=$F13,J$3+6&gt;=$E13),"■","")</x:f>
      </x:c>
      <x:c r="K13" s="102" t="str">
        <x:f>IF(AND(K$3&lt;=$F13,K$3+6&gt;=$E13),"■","")</x:f>
        <x:v>■</x:v>
      </x:c>
      <x:c r="L13" s="102" t="str">
        <x:f>IF(AND(L$3&lt;=$F13,L$3+6&gt;=$E13),"■","")</x:f>
        <x:v>■</x:v>
      </x:c>
      <x:c r="M13" s="102" t="str">
        <x:f>IF(AND(M$3&lt;=$F13,M$3+6&gt;=$E13),"■","")</x:f>
      </x:c>
      <x:c r="N13" s="102" t="str">
        <x:f>IF(AND(N$3&lt;=$F13,N$3+6&gt;=$E13),"■","")</x:f>
      </x:c>
      <x:c r="O13" s="102" t="str">
        <x:f>IF(AND(O$3&lt;=$F13,O$3+6&gt;=$E13),"■","")</x:f>
      </x:c>
      <x:c r="P13" s="102" t="str">
        <x:f>IF(AND(P$3&lt;=$F13,P$3+6&gt;=$E13),"■","")</x:f>
      </x:c>
      <x:c r="Q13" s="102" t="str">
        <x:f>IF(AND(Q$3&lt;=$F13,Q$3+6&gt;=$E13),"■","")</x:f>
      </x:c>
      <x:c r="R13" s="102" t="str">
        <x:f>IF(AND(R$3&lt;=$F13,R$3+6&gt;=$E13),"■","")</x:f>
      </x:c>
    </x:row>
    <x:row r="14" ht="28" customHeight="1">
      <x:c r="A14" s="103" t="str">
        <x:v>3.1</x:v>
      </x:c>
      <x:c r="B14" s="104" t="str">
        <x:v>Assistance request workflow and status tracking</x:v>
      </x:c>
      <x:c r="C14" s="103" t="str">
        <x:v>Developer</x:v>
      </x:c>
      <x:c r="D14" s="103" t="str">
        <x:v>Paragat</x:v>
      </x:c>
      <x:c r="E14" s="105" t="n">
        <x:v>46300</x:v>
      </x:c>
      <x:c r="F14" s="105" t="n">
        <x:v>46304</x:v>
      </x:c>
      <x:c r="G14" s="106" t="str">
        <x:f>IF(AND(G$3&lt;=$F14,G$3+6&gt;=$E14),"■","")</x:f>
      </x:c>
      <x:c r="H14" s="106" t="str">
        <x:f>IF(AND(H$3&lt;=$F14,H$3+6&gt;=$E14),"■","")</x:f>
      </x:c>
      <x:c r="I14" s="106" t="str">
        <x:f>IF(AND(I$3&lt;=$F14,I$3+6&gt;=$E14),"■","")</x:f>
      </x:c>
      <x:c r="J14" s="106" t="str">
        <x:f>IF(AND(J$3&lt;=$F14,J$3+6&gt;=$E14),"■","")</x:f>
      </x:c>
      <x:c r="K14" s="106" t="str">
        <x:f>IF(AND(K$3&lt;=$F14,K$3+6&gt;=$E14),"■","")</x:f>
        <x:v>■</x:v>
      </x:c>
      <x:c r="L14" s="106" t="str">
        <x:f>IF(AND(L$3&lt;=$F14,L$3+6&gt;=$E14),"■","")</x:f>
      </x:c>
      <x:c r="M14" s="106" t="str">
        <x:f>IF(AND(M$3&lt;=$F14,M$3+6&gt;=$E14),"■","")</x:f>
      </x:c>
      <x:c r="N14" s="106" t="str">
        <x:f>IF(AND(N$3&lt;=$F14,N$3+6&gt;=$E14),"■","")</x:f>
      </x:c>
      <x:c r="O14" s="106" t="str">
        <x:f>IF(AND(O$3&lt;=$F14,O$3+6&gt;=$E14),"■","")</x:f>
      </x:c>
      <x:c r="P14" s="106" t="str">
        <x:f>IF(AND(P$3&lt;=$F14,P$3+6&gt;=$E14),"■","")</x:f>
      </x:c>
      <x:c r="Q14" s="106" t="str">
        <x:f>IF(AND(Q$3&lt;=$F14,Q$3+6&gt;=$E14),"■","")</x:f>
      </x:c>
      <x:c r="R14" s="106" t="str">
        <x:f>IF(AND(R$3&lt;=$F14,R$3+6&gt;=$E14),"■","")</x:f>
      </x:c>
    </x:row>
    <x:row r="15" ht="28" customHeight="1">
      <x:c r="A15" s="103" t="str">
        <x:v>3.2</x:v>
      </x:c>
      <x:c r="B15" s="104" t="str">
        <x:v>Announcements and events management</x:v>
      </x:c>
      <x:c r="C15" s="103" t="str">
        <x:v>Developer</x:v>
      </x:c>
      <x:c r="D15" s="103" t="str">
        <x:v>Paragat</x:v>
      </x:c>
      <x:c r="E15" s="105" t="n">
        <x:v>46300</x:v>
      </x:c>
      <x:c r="F15" s="105" t="n">
        <x:v>46304</x:v>
      </x:c>
      <x:c r="G15" s="106" t="str">
        <x:f>IF(AND(G$3&lt;=$F15,G$3+6&gt;=$E15),"■","")</x:f>
      </x:c>
      <x:c r="H15" s="106" t="str">
        <x:f>IF(AND(H$3&lt;=$F15,H$3+6&gt;=$E15),"■","")</x:f>
      </x:c>
      <x:c r="I15" s="106" t="str">
        <x:f>IF(AND(I$3&lt;=$F15,I$3+6&gt;=$E15),"■","")</x:f>
      </x:c>
      <x:c r="J15" s="106" t="str">
        <x:f>IF(AND(J$3&lt;=$F15,J$3+6&gt;=$E15),"■","")</x:f>
      </x:c>
      <x:c r="K15" s="106" t="str">
        <x:f>IF(AND(K$3&lt;=$F15,K$3+6&gt;=$E15),"■","")</x:f>
        <x:v>■</x:v>
      </x:c>
      <x:c r="L15" s="106" t="str">
        <x:f>IF(AND(L$3&lt;=$F15,L$3+6&gt;=$E15),"■","")</x:f>
      </x:c>
      <x:c r="M15" s="106" t="str">
        <x:f>IF(AND(M$3&lt;=$F15,M$3+6&gt;=$E15),"■","")</x:f>
      </x:c>
      <x:c r="N15" s="106" t="str">
        <x:f>IF(AND(N$3&lt;=$F15,N$3+6&gt;=$E15),"■","")</x:f>
      </x:c>
      <x:c r="O15" s="106" t="str">
        <x:f>IF(AND(O$3&lt;=$F15,O$3+6&gt;=$E15),"■","")</x:f>
      </x:c>
      <x:c r="P15" s="106" t="str">
        <x:f>IF(AND(P$3&lt;=$F15,P$3+6&gt;=$E15),"■","")</x:f>
      </x:c>
      <x:c r="Q15" s="106" t="str">
        <x:f>IF(AND(Q$3&lt;=$F15,Q$3+6&gt;=$E15),"■","")</x:f>
      </x:c>
      <x:c r="R15" s="106" t="str">
        <x:f>IF(AND(R$3&lt;=$F15,R$3+6&gt;=$E15),"■","")</x:f>
      </x:c>
    </x:row>
    <x:row r="16" ht="28" customHeight="1">
      <x:c r="A16" s="103" t="str">
        <x:v>3.3</x:v>
      </x:c>
      <x:c r="B16" s="104" t="str">
        <x:v>Senior portal dashboard and notifications</x:v>
      </x:c>
      <x:c r="C16" s="103" t="str">
        <x:v>Developer</x:v>
      </x:c>
      <x:c r="D16" s="103" t="str">
        <x:v>Paragat</x:v>
      </x:c>
      <x:c r="E16" s="105" t="n">
        <x:v>46307</x:v>
      </x:c>
      <x:c r="F16" s="105" t="n">
        <x:v>46311</x:v>
      </x:c>
      <x:c r="G16" s="106" t="str">
        <x:f>IF(AND(G$3&lt;=$F16,G$3+6&gt;=$E16),"■","")</x:f>
      </x:c>
      <x:c r="H16" s="106" t="str">
        <x:f>IF(AND(H$3&lt;=$F16,H$3+6&gt;=$E16),"■","")</x:f>
      </x:c>
      <x:c r="I16" s="106" t="str">
        <x:f>IF(AND(I$3&lt;=$F16,I$3+6&gt;=$E16),"■","")</x:f>
      </x:c>
      <x:c r="J16" s="106" t="str">
        <x:f>IF(AND(J$3&lt;=$F16,J$3+6&gt;=$E16),"■","")</x:f>
      </x:c>
      <x:c r="K16" s="106" t="str">
        <x:f>IF(AND(K$3&lt;=$F16,K$3+6&gt;=$E16),"■","")</x:f>
      </x:c>
      <x:c r="L16" s="106" t="str">
        <x:f>IF(AND(L$3&lt;=$F16,L$3+6&gt;=$E16),"■","")</x:f>
        <x:v>■</x:v>
      </x:c>
      <x:c r="M16" s="106" t="str">
        <x:f>IF(AND(M$3&lt;=$F16,M$3+6&gt;=$E16),"■","")</x:f>
      </x:c>
      <x:c r="N16" s="106" t="str">
        <x:f>IF(AND(N$3&lt;=$F16,N$3+6&gt;=$E16),"■","")</x:f>
      </x:c>
      <x:c r="O16" s="106" t="str">
        <x:f>IF(AND(O$3&lt;=$F16,O$3+6&gt;=$E16),"■","")</x:f>
      </x:c>
      <x:c r="P16" s="106" t="str">
        <x:f>IF(AND(P$3&lt;=$F16,P$3+6&gt;=$E16),"■","")</x:f>
      </x:c>
      <x:c r="Q16" s="106" t="str">
        <x:f>IF(AND(Q$3&lt;=$F16,Q$3+6&gt;=$E16),"■","")</x:f>
      </x:c>
      <x:c r="R16" s="106" t="str">
        <x:f>IF(AND(R$3&lt;=$F16,R$3+6&gt;=$E16),"■","")</x:f>
      </x:c>
    </x:row>
    <x:row r="17" ht="28" customHeight="1">
      <x:c r="A17" s="103" t="str">
        <x:v>3.4</x:v>
      </x:c>
      <x:c r="B17" s="104" t="str">
        <x:v>SMS gateway integration and delivery logs</x:v>
      </x:c>
      <x:c r="C17" s="103" t="str">
        <x:v>Developer</x:v>
      </x:c>
      <x:c r="D17" s="103" t="str">
        <x:v>Paragat</x:v>
      </x:c>
      <x:c r="E17" s="105" t="n">
        <x:v>46307</x:v>
      </x:c>
      <x:c r="F17" s="105" t="n">
        <x:v>46311</x:v>
      </x:c>
      <x:c r="G17" s="106" t="str">
        <x:f>IF(AND(G$3&lt;=$F17,G$3+6&gt;=$E17),"■","")</x:f>
      </x:c>
      <x:c r="H17" s="106" t="str">
        <x:f>IF(AND(H$3&lt;=$F17,H$3+6&gt;=$E17),"■","")</x:f>
      </x:c>
      <x:c r="I17" s="106" t="str">
        <x:f>IF(AND(I$3&lt;=$F17,I$3+6&gt;=$E17),"■","")</x:f>
      </x:c>
      <x:c r="J17" s="106" t="str">
        <x:f>IF(AND(J$3&lt;=$F17,J$3+6&gt;=$E17),"■","")</x:f>
      </x:c>
      <x:c r="K17" s="106" t="str">
        <x:f>IF(AND(K$3&lt;=$F17,K$3+6&gt;=$E17),"■","")</x:f>
      </x:c>
      <x:c r="L17" s="106" t="str">
        <x:f>IF(AND(L$3&lt;=$F17,L$3+6&gt;=$E17),"■","")</x:f>
        <x:v>■</x:v>
      </x:c>
      <x:c r="M17" s="106" t="str">
        <x:f>IF(AND(M$3&lt;=$F17,M$3+6&gt;=$E17),"■","")</x:f>
      </x:c>
      <x:c r="N17" s="106" t="str">
        <x:f>IF(AND(N$3&lt;=$F17,N$3+6&gt;=$E17),"■","")</x:f>
      </x:c>
      <x:c r="O17" s="106" t="str">
        <x:f>IF(AND(O$3&lt;=$F17,O$3+6&gt;=$E17),"■","")</x:f>
      </x:c>
      <x:c r="P17" s="106" t="str">
        <x:f>IF(AND(P$3&lt;=$F17,P$3+6&gt;=$E17),"■","")</x:f>
      </x:c>
      <x:c r="Q17" s="106" t="str">
        <x:f>IF(AND(Q$3&lt;=$F17,Q$3+6&gt;=$E17),"■","")</x:f>
      </x:c>
      <x:c r="R17" s="106" t="str">
        <x:f>IF(AND(R$3&lt;=$F17,R$3+6&gt;=$E17),"■","")</x:f>
      </x:c>
    </x:row>
    <x:row r="18" ht="28" customHeight="1">
      <x:c r="A18" s="99" t="str">
        <x:v>4</x:v>
      </x:c>
      <x:c r="B18" s="100" t="str">
        <x:v>Administration and Security</x:v>
      </x:c>
      <x:c r="C18" s="99" t="str">
        <x:v>Project Manager</x:v>
      </x:c>
      <x:c r="D18" s="99" t="str">
        <x:v>Alfanta</x:v>
      </x:c>
      <x:c r="E18" s="101" t="n">
        <x:v>46314</x:v>
      </x:c>
      <x:c r="F18" s="101" t="n">
        <x:v>46325</x:v>
      </x:c>
      <x:c r="G18" s="102" t="str">
        <x:f>IF(AND(G$3&lt;=$F18,G$3+6&gt;=$E18),"■","")</x:f>
      </x:c>
      <x:c r="H18" s="102" t="str">
        <x:f>IF(AND(H$3&lt;=$F18,H$3+6&gt;=$E18),"■","")</x:f>
      </x:c>
      <x:c r="I18" s="102" t="str">
        <x:f>IF(AND(I$3&lt;=$F18,I$3+6&gt;=$E18),"■","")</x:f>
      </x:c>
      <x:c r="J18" s="102" t="str">
        <x:f>IF(AND(J$3&lt;=$F18,J$3+6&gt;=$E18),"■","")</x:f>
      </x:c>
      <x:c r="K18" s="102" t="str">
        <x:f>IF(AND(K$3&lt;=$F18,K$3+6&gt;=$E18),"■","")</x:f>
      </x:c>
      <x:c r="L18" s="102" t="str">
        <x:f>IF(AND(L$3&lt;=$F18,L$3+6&gt;=$E18),"■","")</x:f>
      </x:c>
      <x:c r="M18" s="102" t="str">
        <x:f>IF(AND(M$3&lt;=$F18,M$3+6&gt;=$E18),"■","")</x:f>
        <x:v>■</x:v>
      </x:c>
      <x:c r="N18" s="102" t="str">
        <x:f>IF(AND(N$3&lt;=$F18,N$3+6&gt;=$E18),"■","")</x:f>
        <x:v>■</x:v>
      </x:c>
      <x:c r="O18" s="102" t="str">
        <x:f>IF(AND(O$3&lt;=$F18,O$3+6&gt;=$E18),"■","")</x:f>
      </x:c>
      <x:c r="P18" s="102" t="str">
        <x:f>IF(AND(P$3&lt;=$F18,P$3+6&gt;=$E18),"■","")</x:f>
      </x:c>
      <x:c r="Q18" s="102" t="str">
        <x:f>IF(AND(Q$3&lt;=$F18,Q$3+6&gt;=$E18),"■","")</x:f>
      </x:c>
      <x:c r="R18" s="102" t="str">
        <x:f>IF(AND(R$3&lt;=$F18,R$3+6&gt;=$E18),"■","")</x:f>
      </x:c>
    </x:row>
    <x:row r="19" ht="28" customHeight="1">
      <x:c r="A19" s="103" t="str">
        <x:v>4.1</x:v>
      </x:c>
      <x:c r="B19" s="104" t="str">
        <x:v>Staff dashboard and senior records</x:v>
      </x:c>
      <x:c r="C19" s="103" t="str">
        <x:v>Developer</x:v>
      </x:c>
      <x:c r="D19" s="103" t="str">
        <x:v>Paragat</x:v>
      </x:c>
      <x:c r="E19" s="105" t="n">
        <x:v>46314</x:v>
      </x:c>
      <x:c r="F19" s="105" t="n">
        <x:v>46318</x:v>
      </x:c>
      <x:c r="G19" s="106" t="str">
        <x:f>IF(AND(G$3&lt;=$F19,G$3+6&gt;=$E19),"■","")</x:f>
      </x:c>
      <x:c r="H19" s="106" t="str">
        <x:f>IF(AND(H$3&lt;=$F19,H$3+6&gt;=$E19),"■","")</x:f>
      </x:c>
      <x:c r="I19" s="106" t="str">
        <x:f>IF(AND(I$3&lt;=$F19,I$3+6&gt;=$E19),"■","")</x:f>
      </x:c>
      <x:c r="J19" s="106" t="str">
        <x:f>IF(AND(J$3&lt;=$F19,J$3+6&gt;=$E19),"■","")</x:f>
      </x:c>
      <x:c r="K19" s="106" t="str">
        <x:f>IF(AND(K$3&lt;=$F19,K$3+6&gt;=$E19),"■","")</x:f>
      </x:c>
      <x:c r="L19" s="106" t="str">
        <x:f>IF(AND(L$3&lt;=$F19,L$3+6&gt;=$E19),"■","")</x:f>
      </x:c>
      <x:c r="M19" s="106" t="str">
        <x:f>IF(AND(M$3&lt;=$F19,M$3+6&gt;=$E19),"■","")</x:f>
        <x:v>■</x:v>
      </x:c>
      <x:c r="N19" s="106" t="str">
        <x:f>IF(AND(N$3&lt;=$F19,N$3+6&gt;=$E19),"■","")</x:f>
      </x:c>
      <x:c r="O19" s="106" t="str">
        <x:f>IF(AND(O$3&lt;=$F19,O$3+6&gt;=$E19),"■","")</x:f>
      </x:c>
      <x:c r="P19" s="106" t="str">
        <x:f>IF(AND(P$3&lt;=$F19,P$3+6&gt;=$E19),"■","")</x:f>
      </x:c>
      <x:c r="Q19" s="106" t="str">
        <x:f>IF(AND(Q$3&lt;=$F19,Q$3+6&gt;=$E19),"■","")</x:f>
      </x:c>
      <x:c r="R19" s="106" t="str">
        <x:f>IF(AND(R$3&lt;=$F19,R$3+6&gt;=$E19),"■","")</x:f>
      </x:c>
    </x:row>
    <x:row r="20" ht="28" customHeight="1">
      <x:c r="A20" s="103" t="str">
        <x:v>4.2</x:v>
      </x:c>
      <x:c r="B20" s="104" t="str">
        <x:v>Reports, audit logs, settings, and backups</x:v>
      </x:c>
      <x:c r="C20" s="103" t="str">
        <x:v>Developer</x:v>
      </x:c>
      <x:c r="D20" s="103" t="str">
        <x:v>Paragat</x:v>
      </x:c>
      <x:c r="E20" s="105" t="n">
        <x:v>46314</x:v>
      </x:c>
      <x:c r="F20" s="105" t="n">
        <x:v>46318</x:v>
      </x:c>
      <x:c r="G20" s="106" t="str">
        <x:f>IF(AND(G$3&lt;=$F20,G$3+6&gt;=$E20),"■","")</x:f>
      </x:c>
      <x:c r="H20" s="106" t="str">
        <x:f>IF(AND(H$3&lt;=$F20,H$3+6&gt;=$E20),"■","")</x:f>
      </x:c>
      <x:c r="I20" s="106" t="str">
        <x:f>IF(AND(I$3&lt;=$F20,I$3+6&gt;=$E20),"■","")</x:f>
      </x:c>
      <x:c r="J20" s="106" t="str">
        <x:f>IF(AND(J$3&lt;=$F20,J$3+6&gt;=$E20),"■","")</x:f>
      </x:c>
      <x:c r="K20" s="106" t="str">
        <x:f>IF(AND(K$3&lt;=$F20,K$3+6&gt;=$E20),"■","")</x:f>
      </x:c>
      <x:c r="L20" s="106" t="str">
        <x:f>IF(AND(L$3&lt;=$F20,L$3+6&gt;=$E20),"■","")</x:f>
      </x:c>
      <x:c r="M20" s="106" t="str">
        <x:f>IF(AND(M$3&lt;=$F20,M$3+6&gt;=$E20),"■","")</x:f>
        <x:v>■</x:v>
      </x:c>
      <x:c r="N20" s="106" t="str">
        <x:f>IF(AND(N$3&lt;=$F20,N$3+6&gt;=$E20),"■","")</x:f>
      </x:c>
      <x:c r="O20" s="106" t="str">
        <x:f>IF(AND(O$3&lt;=$F20,O$3+6&gt;=$E20),"■","")</x:f>
      </x:c>
      <x:c r="P20" s="106" t="str">
        <x:f>IF(AND(P$3&lt;=$F20,P$3+6&gt;=$E20),"■","")</x:f>
      </x:c>
      <x:c r="Q20" s="106" t="str">
        <x:f>IF(AND(Q$3&lt;=$F20,Q$3+6&gt;=$E20),"■","")</x:f>
      </x:c>
      <x:c r="R20" s="106" t="str">
        <x:f>IF(AND(R$3&lt;=$F20,R$3+6&gt;=$E20),"■","")</x:f>
      </x:c>
    </x:row>
    <x:row r="21" ht="28" customHeight="1">
      <x:c r="A21" s="103" t="str">
        <x:v>4.3</x:v>
      </x:c>
      <x:c r="B21" s="104" t="str">
        <x:v>Security hardening and access-control review</x:v>
      </x:c>
      <x:c r="C21" s="103" t="str">
        <x:v>Developer</x:v>
      </x:c>
      <x:c r="D21" s="103" t="str">
        <x:v>Paragat</x:v>
      </x:c>
      <x:c r="E21" s="105" t="n">
        <x:v>46321</x:v>
      </x:c>
      <x:c r="F21" s="105" t="n">
        <x:v>46325</x:v>
      </x:c>
      <x:c r="G21" s="106" t="str">
        <x:f>IF(AND(G$3&lt;=$F21,G$3+6&gt;=$E21),"■","")</x:f>
      </x:c>
      <x:c r="H21" s="106" t="str">
        <x:f>IF(AND(H$3&lt;=$F21,H$3+6&gt;=$E21),"■","")</x:f>
      </x:c>
      <x:c r="I21" s="106" t="str">
        <x:f>IF(AND(I$3&lt;=$F21,I$3+6&gt;=$E21),"■","")</x:f>
      </x:c>
      <x:c r="J21" s="106" t="str">
        <x:f>IF(AND(J$3&lt;=$F21,J$3+6&gt;=$E21),"■","")</x:f>
      </x:c>
      <x:c r="K21" s="106" t="str">
        <x:f>IF(AND(K$3&lt;=$F21,K$3+6&gt;=$E21),"■","")</x:f>
      </x:c>
      <x:c r="L21" s="106" t="str">
        <x:f>IF(AND(L$3&lt;=$F21,L$3+6&gt;=$E21),"■","")</x:f>
      </x:c>
      <x:c r="M21" s="106" t="str">
        <x:f>IF(AND(M$3&lt;=$F21,M$3+6&gt;=$E21),"■","")</x:f>
      </x:c>
      <x:c r="N21" s="106" t="str">
        <x:f>IF(AND(N$3&lt;=$F21,N$3+6&gt;=$E21),"■","")</x:f>
        <x:v>■</x:v>
      </x:c>
      <x:c r="O21" s="106" t="str">
        <x:f>IF(AND(O$3&lt;=$F21,O$3+6&gt;=$E21),"■","")</x:f>
      </x:c>
      <x:c r="P21" s="106" t="str">
        <x:f>IF(AND(P$3&lt;=$F21,P$3+6&gt;=$E21),"■","")</x:f>
      </x:c>
      <x:c r="Q21" s="106" t="str">
        <x:f>IF(AND(Q$3&lt;=$F21,Q$3+6&gt;=$E21),"■","")</x:f>
      </x:c>
      <x:c r="R21" s="106" t="str">
        <x:f>IF(AND(R$3&lt;=$F21,R$3+6&gt;=$E21),"■","")</x:f>
      </x:c>
    </x:row>
    <x:row r="22" ht="28" customHeight="1">
      <x:c r="A22" s="99" t="str">
        <x:v>5</x:v>
      </x:c>
      <x:c r="B22" s="100" t="str">
        <x:v>Testing, Deployment, and Handover</x:v>
      </x:c>
      <x:c r="C22" s="99" t="str">
        <x:v>Project Manager</x:v>
      </x:c>
      <x:c r="D22" s="99" t="str">
        <x:v>Alfanta</x:v>
      </x:c>
      <x:c r="E22" s="101" t="n">
        <x:v>46328</x:v>
      </x:c>
      <x:c r="F22" s="101" t="n">
        <x:v>46346</x:v>
      </x:c>
      <x:c r="G22" s="102" t="str">
        <x:f>IF(AND(G$3&lt;=$F22,G$3+6&gt;=$E22),"■","")</x:f>
      </x:c>
      <x:c r="H22" s="102" t="str">
        <x:f>IF(AND(H$3&lt;=$F22,H$3+6&gt;=$E22),"■","")</x:f>
      </x:c>
      <x:c r="I22" s="102" t="str">
        <x:f>IF(AND(I$3&lt;=$F22,I$3+6&gt;=$E22),"■","")</x:f>
      </x:c>
      <x:c r="J22" s="102" t="str">
        <x:f>IF(AND(J$3&lt;=$F22,J$3+6&gt;=$E22),"■","")</x:f>
      </x:c>
      <x:c r="K22" s="102" t="str">
        <x:f>IF(AND(K$3&lt;=$F22,K$3+6&gt;=$E22),"■","")</x:f>
      </x:c>
      <x:c r="L22" s="102" t="str">
        <x:f>IF(AND(L$3&lt;=$F22,L$3+6&gt;=$E22),"■","")</x:f>
      </x:c>
      <x:c r="M22" s="102" t="str">
        <x:f>IF(AND(M$3&lt;=$F22,M$3+6&gt;=$E22),"■","")</x:f>
      </x:c>
      <x:c r="N22" s="102" t="str">
        <x:f>IF(AND(N$3&lt;=$F22,N$3+6&gt;=$E22),"■","")</x:f>
      </x:c>
      <x:c r="O22" s="102" t="str">
        <x:f>IF(AND(O$3&lt;=$F22,O$3+6&gt;=$E22),"■","")</x:f>
        <x:v>■</x:v>
      </x:c>
      <x:c r="P22" s="102" t="str">
        <x:f>IF(AND(P$3&lt;=$F22,P$3+6&gt;=$E22),"■","")</x:f>
        <x:v>■</x:v>
      </x:c>
      <x:c r="Q22" s="102" t="str">
        <x:f>IF(AND(Q$3&lt;=$F22,Q$3+6&gt;=$E22),"■","")</x:f>
        <x:v>■</x:v>
      </x:c>
      <x:c r="R22" s="102" t="str">
        <x:f>IF(AND(R$3&lt;=$F22,R$3+6&gt;=$E22),"■","")</x:f>
      </x:c>
    </x:row>
    <x:row r="23" ht="28" customHeight="1">
      <x:c r="A23" s="103" t="str">
        <x:v>5.1</x:v>
      </x:c>
      <x:c r="B23" s="104" t="str">
        <x:v>Integration and user-acceptance testing</x:v>
      </x:c>
      <x:c r="C23" s="103" t="str">
        <x:v>Tester</x:v>
      </x:c>
      <x:c r="D23" s="103" t="str">
        <x:v>Tangpos</x:v>
      </x:c>
      <x:c r="E23" s="105" t="n">
        <x:v>46328</x:v>
      </x:c>
      <x:c r="F23" s="105" t="n">
        <x:v>46332</x:v>
      </x:c>
      <x:c r="G23" s="106" t="str">
        <x:f>IF(AND(G$3&lt;=$F23,G$3+6&gt;=$E23),"■","")</x:f>
      </x:c>
      <x:c r="H23" s="106" t="str">
        <x:f>IF(AND(H$3&lt;=$F23,H$3+6&gt;=$E23),"■","")</x:f>
      </x:c>
      <x:c r="I23" s="106" t="str">
        <x:f>IF(AND(I$3&lt;=$F23,I$3+6&gt;=$E23),"■","")</x:f>
      </x:c>
      <x:c r="J23" s="106" t="str">
        <x:f>IF(AND(J$3&lt;=$F23,J$3+6&gt;=$E23),"■","")</x:f>
      </x:c>
      <x:c r="K23" s="106" t="str">
        <x:f>IF(AND(K$3&lt;=$F23,K$3+6&gt;=$E23),"■","")</x:f>
      </x:c>
      <x:c r="L23" s="106" t="str">
        <x:f>IF(AND(L$3&lt;=$F23,L$3+6&gt;=$E23),"■","")</x:f>
      </x:c>
      <x:c r="M23" s="106" t="str">
        <x:f>IF(AND(M$3&lt;=$F23,M$3+6&gt;=$E23),"■","")</x:f>
      </x:c>
      <x:c r="N23" s="106" t="str">
        <x:f>IF(AND(N$3&lt;=$F23,N$3+6&gt;=$E23),"■","")</x:f>
      </x:c>
      <x:c r="O23" s="106" t="str">
        <x:f>IF(AND(O$3&lt;=$F23,O$3+6&gt;=$E23),"■","")</x:f>
        <x:v>■</x:v>
      </x:c>
      <x:c r="P23" s="106" t="str">
        <x:f>IF(AND(P$3&lt;=$F23,P$3+6&gt;=$E23),"■","")</x:f>
      </x:c>
      <x:c r="Q23" s="106" t="str">
        <x:f>IF(AND(Q$3&lt;=$F23,Q$3+6&gt;=$E23),"■","")</x:f>
      </x:c>
      <x:c r="R23" s="106" t="str">
        <x:f>IF(AND(R$3&lt;=$F23,R$3+6&gt;=$E23),"■","")</x:f>
      </x:c>
    </x:row>
    <x:row r="24" ht="28" customHeight="1">
      <x:c r="A24" s="103" t="str">
        <x:v>5.2</x:v>
      </x:c>
      <x:c r="B24" s="104" t="str">
        <x:v>Bug fixes and performance tuning</x:v>
      </x:c>
      <x:c r="C24" s="103" t="str">
        <x:v>Developer</x:v>
      </x:c>
      <x:c r="D24" s="103" t="str">
        <x:v>Paragat</x:v>
      </x:c>
      <x:c r="E24" s="105" t="n">
        <x:v>46335</x:v>
      </x:c>
      <x:c r="F24" s="105" t="n">
        <x:v>46339</x:v>
      </x:c>
      <x:c r="G24" s="106" t="str">
        <x:f>IF(AND(G$3&lt;=$F24,G$3+6&gt;=$E24),"■","")</x:f>
      </x:c>
      <x:c r="H24" s="106" t="str">
        <x:f>IF(AND(H$3&lt;=$F24,H$3+6&gt;=$E24),"■","")</x:f>
      </x:c>
      <x:c r="I24" s="106" t="str">
        <x:f>IF(AND(I$3&lt;=$F24,I$3+6&gt;=$E24),"■","")</x:f>
      </x:c>
      <x:c r="J24" s="106" t="str">
        <x:f>IF(AND(J$3&lt;=$F24,J$3+6&gt;=$E24),"■","")</x:f>
      </x:c>
      <x:c r="K24" s="106" t="str">
        <x:f>IF(AND(K$3&lt;=$F24,K$3+6&gt;=$E24),"■","")</x:f>
      </x:c>
      <x:c r="L24" s="106" t="str">
        <x:f>IF(AND(L$3&lt;=$F24,L$3+6&gt;=$E24),"■","")</x:f>
      </x:c>
      <x:c r="M24" s="106" t="str">
        <x:f>IF(AND(M$3&lt;=$F24,M$3+6&gt;=$E24),"■","")</x:f>
      </x:c>
      <x:c r="N24" s="106" t="str">
        <x:f>IF(AND(N$3&lt;=$F24,N$3+6&gt;=$E24),"■","")</x:f>
      </x:c>
      <x:c r="O24" s="106" t="str">
        <x:f>IF(AND(O$3&lt;=$F24,O$3+6&gt;=$E24),"■","")</x:f>
      </x:c>
      <x:c r="P24" s="106" t="str">
        <x:f>IF(AND(P$3&lt;=$F24,P$3+6&gt;=$E24),"■","")</x:f>
        <x:v>■</x:v>
      </x:c>
      <x:c r="Q24" s="106" t="str">
        <x:f>IF(AND(Q$3&lt;=$F24,Q$3+6&gt;=$E24),"■","")</x:f>
      </x:c>
      <x:c r="R24" s="106" t="str">
        <x:f>IF(AND(R$3&lt;=$F24,R$3+6&gt;=$E24),"■","")</x:f>
      </x:c>
    </x:row>
    <x:row r="25" ht="28" customHeight="1">
      <x:c r="A25" s="103" t="str">
        <x:v>5.3</x:v>
      </x:c>
      <x:c r="B25" s="104" t="str">
        <x:v>Documentation, deployment, and staff orientation</x:v>
      </x:c>
      <x:c r="C25" s="103" t="str">
        <x:v>Project Manager</x:v>
      </x:c>
      <x:c r="D25" s="103" t="str">
        <x:v>Alfanta</x:v>
      </x:c>
      <x:c r="E25" s="105" t="n">
        <x:v>46342</x:v>
      </x:c>
      <x:c r="F25" s="105" t="n">
        <x:v>46346</x:v>
      </x:c>
      <x:c r="G25" s="106" t="str">
        <x:f>IF(AND(G$3&lt;=$F25,G$3+6&gt;=$E25),"■","")</x:f>
      </x:c>
      <x:c r="H25" s="106" t="str">
        <x:f>IF(AND(H$3&lt;=$F25,H$3+6&gt;=$E25),"■","")</x:f>
      </x:c>
      <x:c r="I25" s="106" t="str">
        <x:f>IF(AND(I$3&lt;=$F25,I$3+6&gt;=$E25),"■","")</x:f>
      </x:c>
      <x:c r="J25" s="106" t="str">
        <x:f>IF(AND(J$3&lt;=$F25,J$3+6&gt;=$E25),"■","")</x:f>
      </x:c>
      <x:c r="K25" s="106" t="str">
        <x:f>IF(AND(K$3&lt;=$F25,K$3+6&gt;=$E25),"■","")</x:f>
      </x:c>
      <x:c r="L25" s="106" t="str">
        <x:f>IF(AND(L$3&lt;=$F25,L$3+6&gt;=$E25),"■","")</x:f>
      </x:c>
      <x:c r="M25" s="106" t="str">
        <x:f>IF(AND(M$3&lt;=$F25,M$3+6&gt;=$E25),"■","")</x:f>
      </x:c>
      <x:c r="N25" s="106" t="str">
        <x:f>IF(AND(N$3&lt;=$F25,N$3+6&gt;=$E25),"■","")</x:f>
      </x:c>
      <x:c r="O25" s="106" t="str">
        <x:f>IF(AND(O$3&lt;=$F25,O$3+6&gt;=$E25),"■","")</x:f>
      </x:c>
      <x:c r="P25" s="106" t="str">
        <x:f>IF(AND(P$3&lt;=$F25,P$3+6&gt;=$E25),"■","")</x:f>
      </x:c>
      <x:c r="Q25" s="106" t="str">
        <x:f>IF(AND(Q$3&lt;=$F25,Q$3+6&gt;=$E25),"■","")</x:f>
        <x:v>■</x:v>
      </x:c>
      <x:c r="R25" s="106" t="str">
        <x:f>IF(AND(R$3&lt;=$F25,R$3+6&gt;=$E25),"■","")</x:f>
      </x:c>
    </x:row>
    <x:row r="26" ht="15.7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</x:row>
    <x:row r="27" ht="15.7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</x:row>
    <x:row r="28" ht="24" customHeight="1">
      <x:c r="A28" s="110" t="str">
        <x:v>Legend: ■ Planned development period | Schedule: 7 September – 20 November 2026 (12 weeks)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2"/>
    </x:row>
    <x:row r="29" ht="15.7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</x:row>
    <x:row r="30" ht="15.7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</x:row>
    <x:row r="31" ht="15.7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</x:row>
    <x:row r="32" ht="15.7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</x:row>
    <x:row r="33" ht="15.7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</x:row>
    <x:row r="34" ht="15.7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</x:row>
    <x:row r="35" ht="15.7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</x:row>
    <x:row r="36" ht="15.7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</x:row>
    <x:row r="37" ht="15.7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</x:row>
    <x:row r="38" ht="15.7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</x:row>
    <x:row r="39" ht="15.7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</x:row>
    <x:row r="40" ht="15.7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</x:row>
    <x:row r="41" ht="15.7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</x:row>
    <x:row r="42" ht="15.7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</x:row>
    <x:row r="43" ht="15.7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 ht="15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</x:row>
    <x:row r="45" ht="15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</x:row>
    <x:row r="46" ht="15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</x:row>
    <x:row r="47" ht="15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</x:row>
    <x:row r="48" ht="15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</x:row>
    <x:row r="65">
      <x:c r="A65"/>
      <x:c r="B65"/>
      <x:c r="C65"/>
    </x:row>
    <x:row r="66" ht="13.5" customHeight="1">
      <x:c r="A66"/>
      <x:c r="B66"/>
      <x:c r="C66"/>
    </x:row>
    <x:row r="67" ht="13.5" customHeight="1">
      <x:c r="A67"/>
      <x:c r="B67"/>
      <x:c r="C67"/>
    </x:row>
    <x:row r="68" ht="13.5" customHeight="1">
      <x:c r="A68"/>
      <x:c r="B68"/>
      <x:c r="C68"/>
    </x:row>
    <x:row r="69" ht="13.5" customHeight="1">
      <x:c r="A69"/>
      <x:c r="B69"/>
      <x:c r="C69"/>
    </x:row>
    <x:row r="70" ht="13.5" customHeight="1">
      <x:c r="A70"/>
      <x:c r="B70"/>
      <x:c r="C70"/>
    </x:row>
    <x:row r="71">
      <x:c r="A71"/>
      <x:c r="B71"/>
      <x:c r="C71"/>
    </x:row>
  </x:sheetData>
  <x:mergeCells>
    <x:mergeCell ref="G2:J2"/>
    <x:mergeCell ref="K2:N2"/>
    <x:mergeCell ref="O2:R2"/>
    <x:mergeCell ref="A1:B1"/>
    <x:mergeCell ref="C1:F1"/>
    <x:mergeCell ref="A2:A3"/>
    <x:mergeCell ref="B2:B3"/>
    <x:mergeCell ref="C2:C3"/>
    <x:mergeCell ref="D2:D3"/>
    <x:mergeCell ref="E2:E3"/>
    <x:mergeCell ref="F2:F3"/>
    <x:mergeCell ref="C1:R1"/>
    <x:mergeCell ref="A28:F28"/>
  </x:mergeCells>
  <x:pageMargins left="0.7" right="0.7" top="0.75" bottom="0.75" header="0.3" footer="0.3"/>
</x:worksheet>
</file>